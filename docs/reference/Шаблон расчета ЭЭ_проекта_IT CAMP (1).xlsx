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hidePivotFieldList="1" defaultThemeVersion="124226"/>
  <mc:AlternateContent xmlns:mc="http://schemas.openxmlformats.org/markup-compatibility/2006">
    <mc:Choice Requires="x15">
      <x15ac:absPath xmlns:x15ac="http://schemas.microsoft.com/office/spreadsheetml/2010/11/ac" url="\\gazprom-neft.local\dfs\Газпром нефть\Департаменты\Дирекция по цифровой трансформации\инвестиции\Обучения\IT CAMP 2026\"/>
    </mc:Choice>
  </mc:AlternateContent>
  <bookViews>
    <workbookView xWindow="-120" yWindow="-120" windowWidth="25800" windowHeight="9420" tabRatio="886"/>
  </bookViews>
  <sheets>
    <sheet name="TCO (Проект 1)" sheetId="59" r:id="rId1"/>
    <sheet name="Дерево КПЭ (Проект 1)" sheetId="61" r:id="rId2"/>
    <sheet name="Резюме (Проекта 1)" sheetId="62" r:id="rId3"/>
    <sheet name="Факторный анализ" sheetId="58" state="hidden" r:id="rId4"/>
  </sheets>
  <externalReferences>
    <externalReference r:id="rId5"/>
  </externalReferences>
  <definedNames>
    <definedName name="_xlchart.v1.0" hidden="1">'Резюме (Проекта 1)'!$A$46:$A$49</definedName>
    <definedName name="_xlchart.v1.1" hidden="1">'Резюме (Проекта 1)'!$G$46:$G$49</definedName>
    <definedName name="DPP" localSheetId="2">'Резюме (Проекта 1)'!$B$12</definedName>
    <definedName name="DPP">#REF!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19" i="59" l="1"/>
  <c r="L20" i="59"/>
  <c r="L21" i="59"/>
  <c r="L26" i="59" s="1"/>
  <c r="L22" i="59"/>
  <c r="L23" i="59"/>
  <c r="L24" i="59"/>
  <c r="L25" i="59"/>
  <c r="L18" i="59"/>
  <c r="C26" i="59"/>
  <c r="D26" i="59"/>
  <c r="E26" i="59"/>
  <c r="F26" i="59"/>
  <c r="G26" i="59"/>
  <c r="H26" i="59"/>
  <c r="I26" i="59"/>
  <c r="J26" i="59"/>
  <c r="K26" i="59"/>
  <c r="B26" i="59"/>
  <c r="L14" i="59"/>
  <c r="L8" i="59"/>
  <c r="L9" i="59"/>
  <c r="L10" i="59"/>
  <c r="L11" i="59"/>
  <c r="L12" i="59"/>
  <c r="L13" i="59"/>
  <c r="L7" i="59"/>
  <c r="L15" i="59" s="1"/>
  <c r="K15" i="59"/>
  <c r="J15" i="59"/>
  <c r="I15" i="59"/>
  <c r="H15" i="59"/>
  <c r="G15" i="59"/>
  <c r="F15" i="59"/>
  <c r="E15" i="59"/>
  <c r="D15" i="59"/>
  <c r="C15" i="59"/>
  <c r="B15" i="59"/>
  <c r="S37" i="62" l="1"/>
  <c r="R37" i="62"/>
  <c r="Q37" i="62"/>
  <c r="P37" i="62"/>
  <c r="O37" i="62"/>
  <c r="N37" i="62"/>
  <c r="M37" i="62"/>
  <c r="L37" i="62"/>
  <c r="K37" i="62"/>
  <c r="J37" i="62"/>
  <c r="I37" i="62"/>
  <c r="H37" i="62"/>
  <c r="G37" i="62"/>
  <c r="N5" i="61" l="1"/>
  <c r="AD3" i="61"/>
  <c r="F30" i="62"/>
  <c r="C30" i="62"/>
  <c r="D30" i="62"/>
  <c r="E30" i="62"/>
  <c r="B30" i="62"/>
  <c r="X8" i="61" l="1"/>
  <c r="X7" i="61"/>
  <c r="X6" i="61"/>
  <c r="X5" i="61"/>
  <c r="A47" i="62" l="1"/>
  <c r="A46" i="62"/>
  <c r="AK8" i="61"/>
  <c r="AI8" i="61"/>
  <c r="AG8" i="61"/>
  <c r="AE8" i="61"/>
  <c r="AB8" i="61"/>
  <c r="AK7" i="61"/>
  <c r="AI7" i="61"/>
  <c r="AG7" i="61"/>
  <c r="AE7" i="61"/>
  <c r="AB7" i="61"/>
  <c r="AB6" i="61"/>
  <c r="AB5" i="61"/>
  <c r="AK4" i="61"/>
  <c r="AI4" i="61"/>
  <c r="AG4" i="61"/>
  <c r="AE4" i="61"/>
  <c r="AJ3" i="61"/>
  <c r="AH3" i="61"/>
  <c r="AF3" i="61"/>
  <c r="B28" i="62"/>
  <c r="F46" i="62"/>
  <c r="E46" i="62"/>
  <c r="D46" i="62"/>
  <c r="C46" i="62"/>
  <c r="V14" i="61"/>
  <c r="F27" i="62" s="1"/>
  <c r="U14" i="61"/>
  <c r="E27" i="62" s="1"/>
  <c r="T14" i="61"/>
  <c r="D27" i="62" s="1"/>
  <c r="S14" i="61"/>
  <c r="C27" i="62" s="1"/>
  <c r="V12" i="61"/>
  <c r="F25" i="62" s="1"/>
  <c r="U12" i="61"/>
  <c r="E25" i="62" s="1"/>
  <c r="T12" i="61"/>
  <c r="D25" i="62" s="1"/>
  <c r="S12" i="61"/>
  <c r="C25" i="62" s="1"/>
  <c r="Q10" i="61"/>
  <c r="AK6" i="61" s="1"/>
  <c r="P10" i="61"/>
  <c r="AI6" i="61" s="1"/>
  <c r="O10" i="61"/>
  <c r="AG6" i="61" s="1"/>
  <c r="N10" i="61"/>
  <c r="AE6" i="61" s="1"/>
  <c r="Q9" i="61"/>
  <c r="P9" i="61"/>
  <c r="O9" i="61"/>
  <c r="N9" i="61"/>
  <c r="Q6" i="61"/>
  <c r="AK5" i="61" s="1"/>
  <c r="P6" i="61"/>
  <c r="AI5" i="61" s="1"/>
  <c r="O6" i="61"/>
  <c r="AG5" i="61" s="1"/>
  <c r="N6" i="61"/>
  <c r="AE5" i="61" s="1"/>
  <c r="Q5" i="61"/>
  <c r="P5" i="61"/>
  <c r="O5" i="61"/>
  <c r="F47" i="62" l="1"/>
  <c r="E47" i="62"/>
  <c r="C47" i="62"/>
  <c r="D47" i="62"/>
  <c r="U5" i="61"/>
  <c r="U13" i="61" s="1"/>
  <c r="E26" i="62" s="1"/>
  <c r="V5" i="61"/>
  <c r="V13" i="61" s="1"/>
  <c r="F26" i="62" s="1"/>
  <c r="V9" i="61"/>
  <c r="S9" i="61"/>
  <c r="U9" i="61"/>
  <c r="T5" i="61"/>
  <c r="S5" i="61"/>
  <c r="W12" i="61"/>
  <c r="W14" i="61"/>
  <c r="T9" i="61"/>
  <c r="S13" i="61"/>
  <c r="F20" i="62"/>
  <c r="E20" i="62"/>
  <c r="D20" i="62"/>
  <c r="C20" i="62"/>
  <c r="F19" i="62"/>
  <c r="E19" i="62"/>
  <c r="D19" i="62"/>
  <c r="J28" i="59" l="1"/>
  <c r="I28" i="59"/>
  <c r="K28" i="59"/>
  <c r="H28" i="59"/>
  <c r="E28" i="59"/>
  <c r="D21" i="62" s="1"/>
  <c r="F28" i="59"/>
  <c r="E21" i="62" s="1"/>
  <c r="G28" i="59"/>
  <c r="F21" i="62" s="1"/>
  <c r="B20" i="62"/>
  <c r="B33" i="62" s="1"/>
  <c r="B34" i="62" s="1"/>
  <c r="D28" i="59"/>
  <c r="C21" i="62" s="1"/>
  <c r="C48" i="62" s="1"/>
  <c r="C19" i="62"/>
  <c r="C28" i="59"/>
  <c r="B19" i="62"/>
  <c r="W9" i="61"/>
  <c r="C26" i="62"/>
  <c r="C28" i="62" s="1"/>
  <c r="C33" i="62" s="1"/>
  <c r="W5" i="61"/>
  <c r="U16" i="61"/>
  <c r="E28" i="62"/>
  <c r="E33" i="62" s="1"/>
  <c r="T13" i="61"/>
  <c r="D26" i="62" s="1"/>
  <c r="V16" i="61"/>
  <c r="F28" i="62"/>
  <c r="F32" i="62" s="1"/>
  <c r="G47" i="62"/>
  <c r="G46" i="62"/>
  <c r="S16" i="61"/>
  <c r="N18" i="58"/>
  <c r="N17" i="58"/>
  <c r="O16" i="58"/>
  <c r="N16" i="58"/>
  <c r="G16" i="58"/>
  <c r="D16" i="58"/>
  <c r="B15" i="58"/>
  <c r="N15" i="58" s="1"/>
  <c r="N14" i="58"/>
  <c r="E13" i="58"/>
  <c r="B13" i="58"/>
  <c r="O12" i="58"/>
  <c r="N12" i="58"/>
  <c r="G12" i="58"/>
  <c r="D12" i="58"/>
  <c r="B11" i="58"/>
  <c r="N11" i="58" s="1"/>
  <c r="N10" i="58"/>
  <c r="O9" i="58"/>
  <c r="N9" i="58"/>
  <c r="G9" i="58"/>
  <c r="D9" i="58"/>
  <c r="F8" i="58"/>
  <c r="E8" i="58"/>
  <c r="C8" i="58"/>
  <c r="D8" i="58" s="1"/>
  <c r="B8" i="58"/>
  <c r="N8" i="58" s="1"/>
  <c r="F36" i="62" l="1"/>
  <c r="F37" i="62"/>
  <c r="B21" i="62"/>
  <c r="B48" i="62" s="1"/>
  <c r="L28" i="59"/>
  <c r="B30" i="59" s="1"/>
  <c r="F48" i="62"/>
  <c r="F22" i="62"/>
  <c r="D48" i="62"/>
  <c r="D22" i="62"/>
  <c r="E48" i="62"/>
  <c r="E22" i="62"/>
  <c r="C22" i="62"/>
  <c r="C34" i="62"/>
  <c r="C32" i="62"/>
  <c r="E32" i="62"/>
  <c r="F33" i="62"/>
  <c r="T16" i="61"/>
  <c r="D28" i="62"/>
  <c r="W13" i="61"/>
  <c r="G8" i="58"/>
  <c r="P9" i="58"/>
  <c r="P12" i="58"/>
  <c r="N13" i="58"/>
  <c r="P16" i="58"/>
  <c r="O8" i="58"/>
  <c r="P8" i="58" s="1"/>
  <c r="E36" i="62" l="1"/>
  <c r="E37" i="62"/>
  <c r="C36" i="62"/>
  <c r="C37" i="62"/>
  <c r="B32" i="62"/>
  <c r="B22" i="62"/>
  <c r="G48" i="62"/>
  <c r="G49" i="62" s="1"/>
  <c r="W16" i="61"/>
  <c r="D33" i="62"/>
  <c r="D34" i="62" s="1"/>
  <c r="E34" i="62" s="1"/>
  <c r="F34" i="62" s="1"/>
  <c r="G34" i="62" s="1"/>
  <c r="D32" i="62"/>
  <c r="D37" i="62" s="1"/>
  <c r="B38" i="62" l="1"/>
  <c r="C38" i="62" s="1"/>
  <c r="C39" i="62" s="1"/>
  <c r="B37" i="62"/>
  <c r="B10" i="62" s="1"/>
  <c r="B36" i="62"/>
  <c r="B40" i="62" s="1"/>
  <c r="C40" i="62" s="1"/>
  <c r="C41" i="62" s="1"/>
  <c r="B41" i="62"/>
  <c r="B39" i="62"/>
  <c r="D36" i="62"/>
  <c r="D38" i="62"/>
  <c r="B35" i="62"/>
  <c r="C35" i="62"/>
  <c r="D35" i="62"/>
  <c r="F35" i="62"/>
  <c r="E35" i="62"/>
  <c r="E38" i="62" l="1"/>
  <c r="D39" i="62"/>
  <c r="B8" i="62"/>
  <c r="Y5" i="61" s="1"/>
  <c r="D40" i="62"/>
  <c r="B11" i="62"/>
  <c r="Y7" i="61" s="1"/>
  <c r="F38" i="62" l="1"/>
  <c r="E39" i="62"/>
  <c r="B9" i="62"/>
  <c r="Y6" i="61" s="1"/>
  <c r="D41" i="62"/>
  <c r="E40" i="62"/>
  <c r="F39" i="62" l="1"/>
  <c r="E41" i="62"/>
  <c r="F40" i="62"/>
  <c r="F41" i="62" l="1"/>
  <c r="B12" i="62" s="1"/>
  <c r="A42" i="62" l="1"/>
  <c r="Y8" i="61"/>
</calcChain>
</file>

<file path=xl/comments1.xml><?xml version="1.0" encoding="utf-8"?>
<comments xmlns="http://schemas.openxmlformats.org/spreadsheetml/2006/main">
  <authors>
    <author>Гринькевич Станислав Иванович</author>
    <author>Скурихин Максим Валерьевич</author>
  </authors>
  <commentList>
    <comment ref="A3" authorId="0" shapeId="0">
      <text>
        <r>
          <rPr>
            <b/>
            <sz val="9"/>
            <color indexed="81"/>
            <rFont val="Tahoma"/>
            <family val="2"/>
            <charset val="204"/>
          </rPr>
          <t>незвание программы / не входит</t>
        </r>
      </text>
    </comment>
    <comment ref="A4" authorId="1" shapeId="0">
      <text>
        <r>
          <rPr>
            <b/>
            <sz val="9"/>
            <color indexed="81"/>
            <rFont val="Tahoma"/>
            <family val="2"/>
            <charset val="204"/>
          </rPr>
          <t>ИТ / Цифровой</t>
        </r>
        <r>
          <rPr>
            <sz val="9"/>
            <color indexed="81"/>
            <rFont val="Tahoma"/>
            <family val="2"/>
            <charset val="204"/>
          </rPr>
          <t xml:space="preserve">
</t>
        </r>
      </text>
    </comment>
  </commentList>
</comments>
</file>

<file path=xl/sharedStrings.xml><?xml version="1.0" encoding="utf-8"?>
<sst xmlns="http://schemas.openxmlformats.org/spreadsheetml/2006/main" count="226" uniqueCount="159">
  <si>
    <t>Капитальные затраты (CAPEX):</t>
  </si>
  <si>
    <t>Операционные затраты (OPEX):</t>
  </si>
  <si>
    <t>Итого по проекту за период (тыс. руб.):</t>
  </si>
  <si>
    <t>Итого</t>
  </si>
  <si>
    <t>Коэффициент дисконтирования</t>
  </si>
  <si>
    <t>Cash flow, млн. руб.</t>
  </si>
  <si>
    <t>DCF</t>
  </si>
  <si>
    <t>Накопленный CF</t>
  </si>
  <si>
    <t>Дисконтированная окупаемость, лет</t>
  </si>
  <si>
    <t>Ставка дисконтирования</t>
  </si>
  <si>
    <t>Экономический эффект</t>
  </si>
  <si>
    <t>TCO</t>
  </si>
  <si>
    <t>DDP, лет
Период окупаемости инвестиций</t>
  </si>
  <si>
    <t>№</t>
  </si>
  <si>
    <t>ИТОГО</t>
  </si>
  <si>
    <t>Консалтинг внешний, CAPEX</t>
  </si>
  <si>
    <t>Лицензии (право использования), CAPEX</t>
  </si>
  <si>
    <t>Консалтинг внешний, OPEX</t>
  </si>
  <si>
    <t>Консалтинг внутренний (Управление проектами), OPEX</t>
  </si>
  <si>
    <t>OCF</t>
  </si>
  <si>
    <t>Накопленный OCF</t>
  </si>
  <si>
    <t>PVI / EPVI</t>
  </si>
  <si>
    <t>Простая окупаемость (PP), лет</t>
  </si>
  <si>
    <t>Накопленный DCF, млн. руб.</t>
  </si>
  <si>
    <t>TCO дисконтированный</t>
  </si>
  <si>
    <t>год</t>
  </si>
  <si>
    <t>период</t>
  </si>
  <si>
    <t>Приведенная стоимость инвестиций (PVI)</t>
  </si>
  <si>
    <t>Минимальное отрицательное значение OCF (столбец)</t>
  </si>
  <si>
    <t>Консалтинг (Управление проектами), CAPEX</t>
  </si>
  <si>
    <t>Консалтинг (Бизнес анализ), CAPEX</t>
  </si>
  <si>
    <t>Консалтинг (Расходы на ИБ), CAPEX</t>
  </si>
  <si>
    <t>Консалтинг (Архитектура), CAPEX</t>
  </si>
  <si>
    <t>Итого капитальные затраты (CAPEX)*:</t>
  </si>
  <si>
    <t>Затраты на аренду оборудования IaaS, OPEX</t>
  </si>
  <si>
    <t>Цели процесса</t>
  </si>
  <si>
    <t>Формула</t>
  </si>
  <si>
    <t>Уровень 4</t>
  </si>
  <si>
    <t>Уровень 3 - физические параметры</t>
  </si>
  <si>
    <t>Уровень 2 - операционные параметры</t>
  </si>
  <si>
    <t>1.2</t>
  </si>
  <si>
    <t>2.1</t>
  </si>
  <si>
    <t>ИТОГО ЭФФЕКТ:</t>
  </si>
  <si>
    <t>Тип эффекта</t>
  </si>
  <si>
    <t>Оптимизация затрат</t>
  </si>
  <si>
    <t>ИТОГО ЭФФЕКТ оптимизации затрат:</t>
  </si>
  <si>
    <t>ИТОГО ЭФФЕКТ снижение риска:</t>
  </si>
  <si>
    <t>Проекты</t>
  </si>
  <si>
    <t>ИТОГО ЭФФЕКТ увеличение дохода:</t>
  </si>
  <si>
    <t>Тип влияния на денежный поток</t>
  </si>
  <si>
    <t>прямой</t>
  </si>
  <si>
    <t>Ожидаемая дисконтированная стоимость проекта, NPV (тыс. руб.)</t>
  </si>
  <si>
    <t>Ожидаемый индекс доходности, PI</t>
  </si>
  <si>
    <t>Итого:</t>
  </si>
  <si>
    <t>Увеличение дохода</t>
  </si>
  <si>
    <t>Итого по статье</t>
  </si>
  <si>
    <t>Итого по проекту за период (руб.):</t>
  </si>
  <si>
    <t>TCO ИТ-решения</t>
  </si>
  <si>
    <t>Статья затрат</t>
  </si>
  <si>
    <t>Единица измерения:</t>
  </si>
  <si>
    <t>Тип показателя</t>
  </si>
  <si>
    <t>Уровень 2 - экономический эффект</t>
  </si>
  <si>
    <t>Уровень КПЭ</t>
  </si>
  <si>
    <t>КПЭ</t>
  </si>
  <si>
    <r>
      <t xml:space="preserve"> </t>
    </r>
    <r>
      <rPr>
        <b/>
        <sz val="9"/>
        <color rgb="FFFFFFFF"/>
        <rFont val="Arial"/>
        <family val="2"/>
        <charset val="204"/>
      </rPr>
      <t>Ед. измерения</t>
    </r>
  </si>
  <si>
    <t>Суммарный экономический эффект</t>
  </si>
  <si>
    <t>Эконом. эффект от программы</t>
  </si>
  <si>
    <t>Млн.р. \ год</t>
  </si>
  <si>
    <t>ххх</t>
  </si>
  <si>
    <t>Внедрение инструмента по управлению ИТ активами</t>
  </si>
  <si>
    <t>([текущий коэф. оборачиваемости] / [целевой коэф. оборачиваемости])*[среднегодовая стоимость склада, млн руб.]*[Стоимость обслуживания капитала, %/год]</t>
  </si>
  <si>
    <t>AS IS</t>
  </si>
  <si>
    <t>Поввышение коэффициента оборачиваемости</t>
  </si>
  <si>
    <t>Операционные КПЭ (2 уровень)</t>
  </si>
  <si>
    <t>млн руб.</t>
  </si>
  <si>
    <t>TO BE</t>
  </si>
  <si>
    <t>1.1</t>
  </si>
  <si>
    <t>Справочно:</t>
  </si>
  <si>
    <t>Стоимость обслуживание капитала, %/год</t>
  </si>
  <si>
    <t>([текущие трудозатраты на инветаризацию, FTE] - [целевые трудозатраты на инветаризацию, FTE]) * [стоимость FTE]</t>
  </si>
  <si>
    <t>Снижение трудозатрат на инветаризацию, FTE</t>
  </si>
  <si>
    <t>Физические параметры (3 уровень)</t>
  </si>
  <si>
    <t>коэф. оборачиваемости</t>
  </si>
  <si>
    <t>FTE</t>
  </si>
  <si>
    <t>Примечание:</t>
  </si>
  <si>
    <r>
      <rPr>
        <b/>
        <sz val="11"/>
        <color rgb="FFFF0000"/>
        <rFont val="Calibri"/>
        <family val="2"/>
        <charset val="204"/>
        <scheme val="minor"/>
      </rPr>
      <t xml:space="preserve">1. </t>
    </r>
    <r>
      <rPr>
        <sz val="11"/>
        <color rgb="FFFF0000"/>
        <rFont val="Calibri"/>
        <family val="2"/>
        <charset val="204"/>
        <scheme val="minor"/>
      </rPr>
      <t>При заполнении таблицы "Дерево КПЭ" требуется на доплнительных вкладках/листах настоящей книги привести исходные данные, на основании которых указываются значения на 3-м и 2-м уровнях дерева.</t>
    </r>
  </si>
  <si>
    <t>По возможности, приводимые значения на дереве КПЭ требуется указывать в виде ссылок на исходные данные.</t>
  </si>
  <si>
    <t xml:space="preserve">В случае использования экспертных оценок, будьте консервативны в своих определениях! Обратитесь к представителям Бизнеса для получения точных данных.       </t>
  </si>
  <si>
    <r>
      <rPr>
        <b/>
        <sz val="11"/>
        <color rgb="FFFF0000"/>
        <rFont val="Calibri"/>
        <family val="2"/>
        <charset val="204"/>
        <scheme val="minor"/>
      </rPr>
      <t>2.</t>
    </r>
    <r>
      <rPr>
        <sz val="11"/>
        <color rgb="FFFF0000"/>
        <rFont val="Calibri"/>
        <family val="2"/>
        <charset val="204"/>
        <scheme val="minor"/>
      </rPr>
      <t xml:space="preserve"> Период получения эффекта равен периоду полезного использования результатов проекта или периоду расчета показателей экономической эффективности</t>
    </r>
  </si>
  <si>
    <t>тыс руб.</t>
  </si>
  <si>
    <t>Консалтинг внутренний (Расходы на ИБ), OPEX</t>
  </si>
  <si>
    <t>Консалтинг внутренний (Архитектура), OPEX</t>
  </si>
  <si>
    <t>Консалтинг внутренний (Бизнес-анализ), OPEX</t>
  </si>
  <si>
    <t>Итого операционные затраты (OPEX):</t>
  </si>
  <si>
    <t>Среднегодовая стоимость склада, тыс. руб.</t>
  </si>
  <si>
    <t>Стоимость 1-го FTE, тыс. руб.</t>
  </si>
  <si>
    <t>Стоимость обслуживания капитала, тыс. руб.</t>
  </si>
  <si>
    <t>Трудозатраты на инветаризацию, тыс. руб.</t>
  </si>
  <si>
    <t>Снижение риска:</t>
  </si>
  <si>
    <t>Снижение трудозатрат на инвентаризацию, тыс. руб.</t>
  </si>
  <si>
    <t>Номер проекта</t>
  </si>
  <si>
    <t>Входит в состав программы</t>
  </si>
  <si>
    <t>Тип проекта</t>
  </si>
  <si>
    <t>ФАКТОРНЫЙ АНАЛИЗ ЭКОНОМИЧЕСКОГО ЭФФЕКТА</t>
  </si>
  <si>
    <t>Наименование драйвера</t>
  </si>
  <si>
    <t>Снижение стоимости обслуживания капитала за счет повышения коэф. оборачиваемости, тыс. руб.</t>
  </si>
  <si>
    <t>ИТОГО:</t>
  </si>
  <si>
    <t>U20000XXXX</t>
  </si>
  <si>
    <t>NPV</t>
  </si>
  <si>
    <t>Факторный анализ достижения КПЭ, млн руб.</t>
  </si>
  <si>
    <t>План</t>
  </si>
  <si>
    <t>Факт</t>
  </si>
  <si>
    <t>Откл.</t>
  </si>
  <si>
    <t>Суммарный экономический эффект по программе</t>
  </si>
  <si>
    <t>1. Снижение лицензионных отчислений</t>
  </si>
  <si>
    <t>1.1 Кол-во приобретаемых лицензий</t>
  </si>
  <si>
    <t>xxx</t>
  </si>
  <si>
    <t>1.2 Размер скидки на приобретение лицензионного обеспечения</t>
  </si>
  <si>
    <t>2. Снижение стоимости управления реализацией ЗнИ</t>
  </si>
  <si>
    <t>2.1 Кол-во ЗнИ</t>
  </si>
  <si>
    <t>2.2 Сокращение трудозатрат на обработку запросов на изменения</t>
  </si>
  <si>
    <t>2.3 Снижение трудозатрат на дублирующие ЗнИ</t>
  </si>
  <si>
    <t>3. Снижение стоимости заемного капитала</t>
  </si>
  <si>
    <t>3.1 Повышение оборачиваемости склада</t>
  </si>
  <si>
    <t>3.2 Среднегодовая стоимость складских запасов</t>
  </si>
  <si>
    <t>Факторный анализ производится методом цепных подстановок</t>
  </si>
  <si>
    <t>В общем виде факторный анализ для трехфакторной мультипликативной модели выглядит следующим образом:</t>
  </si>
  <si>
    <t>Плановое значение</t>
  </si>
  <si>
    <r>
      <t>R</t>
    </r>
    <r>
      <rPr>
        <sz val="7"/>
        <color theme="1"/>
        <rFont val="Calibri"/>
        <family val="2"/>
        <charset val="204"/>
        <scheme val="minor"/>
      </rPr>
      <t>0</t>
    </r>
    <r>
      <rPr>
        <sz val="11"/>
        <color theme="1"/>
        <rFont val="Calibri"/>
        <family val="2"/>
        <scheme val="minor"/>
      </rPr>
      <t xml:space="preserve"> = a</t>
    </r>
    <r>
      <rPr>
        <sz val="7"/>
        <color theme="1"/>
        <rFont val="Calibri"/>
        <family val="2"/>
        <charset val="204"/>
        <scheme val="minor"/>
      </rPr>
      <t>0</t>
    </r>
    <r>
      <rPr>
        <sz val="11"/>
        <color theme="1"/>
        <rFont val="Calibri"/>
        <family val="2"/>
        <scheme val="minor"/>
      </rPr>
      <t xml:space="preserve"> * b</t>
    </r>
    <r>
      <rPr>
        <sz val="7"/>
        <color theme="1"/>
        <rFont val="Calibri"/>
        <family val="2"/>
        <charset val="204"/>
        <scheme val="minor"/>
      </rPr>
      <t>0</t>
    </r>
    <r>
      <rPr>
        <sz val="11"/>
        <color theme="1"/>
        <rFont val="Calibri"/>
        <family val="2"/>
        <scheme val="minor"/>
      </rPr>
      <t xml:space="preserve"> * c</t>
    </r>
    <r>
      <rPr>
        <sz val="7"/>
        <color theme="1"/>
        <rFont val="Calibri"/>
        <family val="2"/>
        <charset val="204"/>
        <scheme val="minor"/>
      </rPr>
      <t>0</t>
    </r>
  </si>
  <si>
    <t>Фактическое значение</t>
  </si>
  <si>
    <r>
      <t>R</t>
    </r>
    <r>
      <rPr>
        <sz val="7"/>
        <color theme="1"/>
        <rFont val="Calibri"/>
        <family val="2"/>
        <charset val="204"/>
        <scheme val="minor"/>
      </rPr>
      <t>1</t>
    </r>
    <r>
      <rPr>
        <sz val="11"/>
        <color theme="1"/>
        <rFont val="Calibri"/>
        <family val="2"/>
        <scheme val="minor"/>
      </rPr>
      <t xml:space="preserve"> = a</t>
    </r>
    <r>
      <rPr>
        <sz val="7"/>
        <color theme="1"/>
        <rFont val="Calibri"/>
        <family val="2"/>
        <charset val="204"/>
        <scheme val="minor"/>
      </rPr>
      <t>1</t>
    </r>
    <r>
      <rPr>
        <sz val="11"/>
        <color theme="1"/>
        <rFont val="Calibri"/>
        <family val="2"/>
        <scheme val="minor"/>
      </rPr>
      <t xml:space="preserve"> * b</t>
    </r>
    <r>
      <rPr>
        <sz val="7"/>
        <color theme="1"/>
        <rFont val="Calibri"/>
        <family val="2"/>
        <charset val="204"/>
        <scheme val="minor"/>
      </rPr>
      <t>1</t>
    </r>
    <r>
      <rPr>
        <sz val="11"/>
        <color theme="1"/>
        <rFont val="Calibri"/>
        <family val="2"/>
        <scheme val="minor"/>
      </rPr>
      <t xml:space="preserve"> * c</t>
    </r>
    <r>
      <rPr>
        <sz val="7"/>
        <color theme="1"/>
        <rFont val="Calibri"/>
        <family val="2"/>
        <charset val="204"/>
        <scheme val="minor"/>
      </rPr>
      <t>1</t>
    </r>
  </si>
  <si>
    <t>Расчёты влияния факторов:</t>
  </si>
  <si>
    <r>
      <t>1. R</t>
    </r>
    <r>
      <rPr>
        <sz val="9"/>
        <color theme="1"/>
        <rFont val="Calibri"/>
        <family val="2"/>
        <charset val="204"/>
        <scheme val="minor"/>
      </rPr>
      <t>(a)</t>
    </r>
    <r>
      <rPr>
        <sz val="11"/>
        <color theme="1"/>
        <rFont val="Calibri"/>
        <family val="2"/>
        <scheme val="minor"/>
      </rPr>
      <t xml:space="preserve"> = </t>
    </r>
    <r>
      <rPr>
        <sz val="11"/>
        <color theme="1"/>
        <rFont val="Calibri"/>
        <family val="2"/>
        <charset val="204"/>
      </rPr>
      <t>∆a * b</t>
    </r>
    <r>
      <rPr>
        <sz val="7"/>
        <color theme="1"/>
        <rFont val="Calibri"/>
        <family val="2"/>
        <charset val="204"/>
      </rPr>
      <t>0</t>
    </r>
    <r>
      <rPr>
        <sz val="11"/>
        <color theme="1"/>
        <rFont val="Calibri"/>
        <family val="2"/>
        <charset val="204"/>
      </rPr>
      <t xml:space="preserve"> * c</t>
    </r>
    <r>
      <rPr>
        <sz val="7"/>
        <color theme="1"/>
        <rFont val="Calibri"/>
        <family val="2"/>
        <charset val="204"/>
      </rPr>
      <t>0</t>
    </r>
  </si>
  <si>
    <r>
      <t>2. R</t>
    </r>
    <r>
      <rPr>
        <sz val="9"/>
        <color theme="1"/>
        <rFont val="Calibri"/>
        <family val="2"/>
        <charset val="204"/>
        <scheme val="minor"/>
      </rPr>
      <t>(b)</t>
    </r>
    <r>
      <rPr>
        <sz val="11"/>
        <color theme="1"/>
        <rFont val="Calibri"/>
        <family val="2"/>
        <scheme val="minor"/>
      </rPr>
      <t xml:space="preserve"> = a</t>
    </r>
    <r>
      <rPr>
        <sz val="7"/>
        <color theme="1"/>
        <rFont val="Calibri"/>
        <family val="2"/>
        <charset val="204"/>
        <scheme val="minor"/>
      </rPr>
      <t>1</t>
    </r>
    <r>
      <rPr>
        <sz val="11"/>
        <color theme="1"/>
        <rFont val="Calibri"/>
        <family val="2"/>
        <scheme val="minor"/>
      </rPr>
      <t xml:space="preserve"> * </t>
    </r>
    <r>
      <rPr>
        <sz val="11"/>
        <color theme="1"/>
        <rFont val="Calibri"/>
        <family val="2"/>
        <charset val="204"/>
      </rPr>
      <t>∆</t>
    </r>
    <r>
      <rPr>
        <sz val="11"/>
        <color theme="1"/>
        <rFont val="Calibri"/>
        <family val="2"/>
        <scheme val="minor"/>
      </rPr>
      <t>b * c</t>
    </r>
    <r>
      <rPr>
        <sz val="7"/>
        <color theme="1"/>
        <rFont val="Calibri"/>
        <family val="2"/>
        <charset val="204"/>
        <scheme val="minor"/>
      </rPr>
      <t>0</t>
    </r>
  </si>
  <si>
    <r>
      <t>3. R</t>
    </r>
    <r>
      <rPr>
        <sz val="9"/>
        <color theme="1"/>
        <rFont val="Calibri"/>
        <family val="2"/>
        <charset val="204"/>
        <scheme val="minor"/>
      </rPr>
      <t>(c)</t>
    </r>
    <r>
      <rPr>
        <sz val="11"/>
        <color theme="1"/>
        <rFont val="Calibri"/>
        <family val="2"/>
        <scheme val="minor"/>
      </rPr>
      <t xml:space="preserve"> = a</t>
    </r>
    <r>
      <rPr>
        <sz val="7"/>
        <color theme="1"/>
        <rFont val="Calibri"/>
        <family val="2"/>
        <charset val="204"/>
        <scheme val="minor"/>
      </rPr>
      <t>1</t>
    </r>
    <r>
      <rPr>
        <sz val="11"/>
        <color theme="1"/>
        <rFont val="Calibri"/>
        <family val="2"/>
        <scheme val="minor"/>
      </rPr>
      <t xml:space="preserve"> * b</t>
    </r>
    <r>
      <rPr>
        <sz val="7"/>
        <color theme="1"/>
        <rFont val="Calibri"/>
        <family val="2"/>
        <charset val="204"/>
        <scheme val="minor"/>
      </rPr>
      <t>1</t>
    </r>
    <r>
      <rPr>
        <sz val="11"/>
        <color theme="1"/>
        <rFont val="Calibri"/>
        <family val="2"/>
        <scheme val="minor"/>
      </rPr>
      <t xml:space="preserve"> * </t>
    </r>
    <r>
      <rPr>
        <sz val="11"/>
        <color theme="1"/>
        <rFont val="Calibri"/>
        <family val="2"/>
        <charset val="204"/>
      </rPr>
      <t>∆</t>
    </r>
    <r>
      <rPr>
        <sz val="11"/>
        <color theme="1"/>
        <rFont val="Calibri"/>
        <family val="2"/>
        <scheme val="minor"/>
      </rPr>
      <t>c</t>
    </r>
  </si>
  <si>
    <t>Проверка</t>
  </si>
  <si>
    <r>
      <t>R</t>
    </r>
    <r>
      <rPr>
        <sz val="7"/>
        <color theme="1"/>
        <rFont val="Calibri"/>
        <family val="2"/>
        <charset val="204"/>
        <scheme val="minor"/>
      </rPr>
      <t>1</t>
    </r>
    <r>
      <rPr>
        <sz val="11"/>
        <color theme="1"/>
        <rFont val="Calibri"/>
        <family val="2"/>
        <scheme val="minor"/>
      </rPr>
      <t>-R</t>
    </r>
    <r>
      <rPr>
        <sz val="7"/>
        <color theme="1"/>
        <rFont val="Calibri"/>
        <family val="2"/>
        <charset val="204"/>
        <scheme val="minor"/>
      </rPr>
      <t>0</t>
    </r>
    <r>
      <rPr>
        <sz val="11"/>
        <color theme="1"/>
        <rFont val="Calibri"/>
        <family val="2"/>
        <scheme val="minor"/>
      </rPr>
      <t xml:space="preserve"> = </t>
    </r>
    <r>
      <rPr>
        <sz val="11"/>
        <color theme="1"/>
        <rFont val="Calibri"/>
        <family val="2"/>
        <charset val="204"/>
      </rPr>
      <t>∆R</t>
    </r>
    <r>
      <rPr>
        <sz val="11"/>
        <color theme="1"/>
        <rFont val="Calibri"/>
        <family val="2"/>
      </rPr>
      <t>(a) + ∆R(b) + ∆R(c)</t>
    </r>
  </si>
  <si>
    <t>Ключевое правило метода цепных подстановок: влияние изменения на результативный показатель количественного фактора подсчитывается при базовом значении качественного фактора.</t>
  </si>
  <si>
    <t>Так, если требуется определить степень влияния кол-ва проданной продукции и цены единицы товара на выручку подразделения, то прежде устанавливается влияние количественного показателя в виде объёма проданной продукции, а потом качественного показателя - цены товара</t>
  </si>
  <si>
    <t>Факторный анализ оказывает влияние на достижение физических показателей эффективности</t>
  </si>
  <si>
    <t>При необходимости более глубокого анализа причин изменения показателей экономической эффективности программы, может быть произведен факторный анализ отклонений целевых операционных показателей. Данный анализ является дополнительной аналитикой, формирование которой оставляется на усмотрение конечным исполнителям. Результаты указанного анализа могут быть использованы для проведения управляющего комитета программы.</t>
  </si>
  <si>
    <t>БЮДЖЕТ ПРОЕКТА U20000XXXX</t>
  </si>
  <si>
    <t>ДЕРЕВО КПЭ ПРОЕКТА U20000XXXX</t>
  </si>
  <si>
    <t>Наименование проекта</t>
  </si>
  <si>
    <t>…</t>
  </si>
  <si>
    <t>ИТ / ЦТ</t>
  </si>
  <si>
    <t>Руководитель проекта</t>
  </si>
  <si>
    <t>Аналитик проекта</t>
  </si>
  <si>
    <t>Урвень 1 - показатели инвестиционной привлекательности</t>
  </si>
  <si>
    <t>Модицифированная внутренняя норма рентабельности MIRR, %</t>
  </si>
  <si>
    <t>Ставка реинвестирования</t>
  </si>
  <si>
    <t>Справочно: для рассчёта MIRR</t>
  </si>
  <si>
    <t>Затраты на сопровождение на этапе эксплуатации, OPEX*</t>
  </si>
  <si>
    <t>в т.ч. затраты на сопровождение ИБ (эксплуатация), OPEX**</t>
  </si>
  <si>
    <t>* На этапе ОПЭ просьба указывать величину сервисных затрат, предварительно согласовав их с коллегами из сервисной функции</t>
  </si>
  <si>
    <t>** Строки 8,9,25 указаны как "в том числе", входят в статьи "Консалтинг внешний" и "Затраты на сопровождение на этапе эксплуатации". Выделяются для контроля расходов на ИБ.</t>
  </si>
  <si>
    <t>в т.ч. затраты на сопровождение ИБ, CAPEX**</t>
  </si>
  <si>
    <t>в т.ч. внедрение СЗИ/компонентов сервисов ИБ, CAPEX**</t>
  </si>
  <si>
    <r>
      <rPr>
        <b/>
        <sz val="11"/>
        <color theme="1"/>
        <rFont val="Calibri"/>
        <family val="2"/>
        <charset val="204"/>
        <scheme val="minor"/>
      </rPr>
      <t>Комментарий:</t>
    </r>
    <r>
      <rPr>
        <sz val="11"/>
        <color theme="1"/>
        <rFont val="Calibri"/>
        <family val="2"/>
        <scheme val="minor"/>
      </rPr>
      <t xml:space="preserve"> желтым цветом выделены строки, которые заполняются с листов "TCO" и "Дерево КПЭ"
Применение «гибридного подхода» для дисконтирования денежного потока: до начала базового периода, т.е. закрытые периоды считаются историческими и для них применяется номинальная ставка дисконтирования (по состоянию на 2024г. – 18%). Для денежных потоков с начала базового года (текущего года) – применяется ставка дисконтирования (согласно макропараметрам = 14%).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</si>
</sst>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4" formatCode="_-* #,##0.00\ &quot;₽&quot;_-;\-* #,##0.00\ &quot;₽&quot;_-;_-* &quot;-&quot;??\ &quot;₽&quot;_-;_-@_-"/>
    <numFmt numFmtId="43" formatCode="_-* #,##0.00_-;\-* #,##0.00_-;_-* &quot;-&quot;??_-;_-@_-"/>
    <numFmt numFmtId="164" formatCode="_-* #,##0.00&quot;р.&quot;_-;\-* #,##0.00&quot;р.&quot;_-;_-* &quot;-&quot;??&quot;р.&quot;_-;_-@_-"/>
    <numFmt numFmtId="165" formatCode="_-* #,##0.00_р_._-;\-* #,##0.00_р_._-;_-* &quot;-&quot;??_р_._-;_-@_-"/>
    <numFmt numFmtId="166" formatCode="0.000"/>
    <numFmt numFmtId="167" formatCode="_-* #,##0.00[$€-1]_-;\-* #,##0.00[$€-1]_-;_-* &quot;-&quot;??[$€-1]_-"/>
    <numFmt numFmtId="168" formatCode="_-* #,##0.00&quot;р.&quot;_-;\-* #,##0.00&quot;р.&quot;_-;_-* &quot;-&quot;???&quot;р.&quot;_-;_-@_-"/>
    <numFmt numFmtId="169" formatCode="#,##0.00_ ;[Red]\-#,##0.00\ ;\-"/>
    <numFmt numFmtId="170" formatCode="#,##0\ [$₽-419]"/>
    <numFmt numFmtId="171" formatCode="#,##0.00\ [$₽-419]"/>
    <numFmt numFmtId="173" formatCode="0.000%"/>
  </numFmts>
  <fonts count="4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family val="2"/>
      <charset val="204"/>
    </font>
    <font>
      <sz val="10"/>
      <name val="Arial Cyr"/>
      <charset val="204"/>
    </font>
    <font>
      <b/>
      <sz val="10"/>
      <name val="Arial"/>
      <family val="2"/>
      <charset val="204"/>
    </font>
    <font>
      <sz val="10"/>
      <name val="Helv"/>
      <charset val="204"/>
    </font>
    <font>
      <sz val="11"/>
      <color theme="1"/>
      <name val="Calibri"/>
      <family val="2"/>
      <scheme val="minor"/>
    </font>
    <font>
      <sz val="11"/>
      <color theme="1"/>
      <name val="Calibri"/>
      <family val="2"/>
      <charset val="204"/>
      <scheme val="minor"/>
    </font>
    <font>
      <sz val="11"/>
      <color theme="1"/>
      <name val="Arial"/>
      <family val="2"/>
      <charset val="204"/>
    </font>
    <font>
      <b/>
      <sz val="11"/>
      <color theme="1"/>
      <name val="Calibri"/>
      <family val="2"/>
      <charset val="204"/>
      <scheme val="minor"/>
    </font>
    <font>
      <i/>
      <sz val="10"/>
      <color rgb="FF808080"/>
      <name val="Arial"/>
      <family val="2"/>
      <charset val="204"/>
    </font>
    <font>
      <b/>
      <sz val="10"/>
      <color rgb="FFFFFF00"/>
      <name val="Arial"/>
      <family val="2"/>
      <charset val="204"/>
    </font>
    <font>
      <sz val="10"/>
      <color rgb="FFFFFFFF"/>
      <name val="Arial"/>
      <family val="2"/>
      <charset val="204"/>
    </font>
    <font>
      <b/>
      <sz val="10"/>
      <color rgb="FFFFFFFF"/>
      <name val="Arial"/>
      <family val="2"/>
      <charset val="204"/>
    </font>
    <font>
      <i/>
      <sz val="11"/>
      <color theme="1"/>
      <name val="Calibri"/>
      <family val="2"/>
      <charset val="204"/>
      <scheme val="minor"/>
    </font>
    <font>
      <i/>
      <sz val="10"/>
      <color indexed="55"/>
      <name val="Arial"/>
      <family val="2"/>
      <charset val="204"/>
    </font>
    <font>
      <b/>
      <sz val="11"/>
      <color theme="0"/>
      <name val="Calibri"/>
      <family val="2"/>
      <charset val="204"/>
      <scheme val="minor"/>
    </font>
    <font>
      <sz val="11"/>
      <color rgb="FFFF0000"/>
      <name val="Calibri"/>
      <family val="2"/>
      <charset val="204"/>
      <scheme val="minor"/>
    </font>
    <font>
      <b/>
      <sz val="16"/>
      <color theme="1"/>
      <name val="Calibri"/>
      <family val="2"/>
      <charset val="204"/>
      <scheme val="minor"/>
    </font>
    <font>
      <b/>
      <sz val="9"/>
      <color rgb="FFFFFFFF"/>
      <name val="Arial"/>
      <family val="2"/>
      <charset val="204"/>
    </font>
    <font>
      <sz val="9"/>
      <color rgb="FFFFFFFF"/>
      <name val="Arial"/>
      <family val="2"/>
      <charset val="204"/>
    </font>
    <font>
      <sz val="9"/>
      <color rgb="FF000000"/>
      <name val="Arial"/>
      <family val="2"/>
      <charset val="204"/>
    </font>
    <font>
      <b/>
      <sz val="12"/>
      <color rgb="FFFF0000"/>
      <name val="Calibri"/>
      <family val="2"/>
      <charset val="204"/>
      <scheme val="minor"/>
    </font>
    <font>
      <b/>
      <sz val="11"/>
      <color rgb="FFFF0000"/>
      <name val="Calibri"/>
      <family val="2"/>
      <charset val="204"/>
      <scheme val="minor"/>
    </font>
    <font>
      <b/>
      <sz val="9"/>
      <color indexed="81"/>
      <name val="Tahoma"/>
      <family val="2"/>
      <charset val="204"/>
    </font>
    <font>
      <sz val="9"/>
      <color indexed="81"/>
      <name val="Tahoma"/>
      <family val="2"/>
      <charset val="204"/>
    </font>
    <font>
      <b/>
      <sz val="10"/>
      <color theme="1"/>
      <name val="Arial"/>
      <family val="2"/>
      <charset val="204"/>
    </font>
    <font>
      <sz val="10"/>
      <color theme="0"/>
      <name val="Arial"/>
      <family val="2"/>
      <charset val="204"/>
    </font>
    <font>
      <b/>
      <sz val="11"/>
      <color theme="1"/>
      <name val="Calibri"/>
      <family val="2"/>
      <scheme val="minor"/>
    </font>
    <font>
      <sz val="11"/>
      <color theme="1"/>
      <name val="Calibri"/>
      <family val="2"/>
      <charset val="204"/>
    </font>
    <font>
      <u/>
      <sz val="11"/>
      <color theme="1"/>
      <name val="Calibri"/>
      <family val="2"/>
      <scheme val="minor"/>
    </font>
    <font>
      <sz val="7"/>
      <color theme="1"/>
      <name val="Calibri"/>
      <family val="2"/>
      <charset val="204"/>
      <scheme val="minor"/>
    </font>
    <font>
      <sz val="9"/>
      <color theme="1"/>
      <name val="Calibri"/>
      <family val="2"/>
      <charset val="204"/>
      <scheme val="minor"/>
    </font>
    <font>
      <sz val="7"/>
      <color theme="1"/>
      <name val="Calibri"/>
      <family val="2"/>
      <charset val="204"/>
    </font>
    <font>
      <sz val="11"/>
      <color theme="1"/>
      <name val="Calibri"/>
      <family val="2"/>
    </font>
    <font>
      <sz val="11"/>
      <color rgb="FFFF0000"/>
      <name val="Arial"/>
      <family val="2"/>
      <charset val="204"/>
    </font>
    <font>
      <i/>
      <sz val="9"/>
      <color rgb="FFFFFFFF"/>
      <name val="Arial"/>
      <family val="2"/>
      <charset val="204"/>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rgb="FF000000"/>
      </patternFill>
    </fill>
    <fill>
      <patternFill patternType="solid">
        <fgColor theme="0" tint="-0.14999847407452621"/>
        <bgColor rgb="FF000000"/>
      </patternFill>
    </fill>
    <fill>
      <patternFill patternType="solid">
        <fgColor rgb="FFFFFFCC"/>
        <bgColor indexed="64"/>
      </patternFill>
    </fill>
    <fill>
      <patternFill patternType="solid">
        <fgColor rgb="FF004077"/>
        <bgColor indexed="64"/>
      </patternFill>
    </fill>
    <fill>
      <patternFill patternType="solid">
        <fgColor rgb="FF2FB4E9"/>
        <bgColor indexed="64"/>
      </patternFill>
    </fill>
    <fill>
      <patternFill patternType="solid">
        <fgColor rgb="FFCCCCCC"/>
        <bgColor indexed="64"/>
      </patternFill>
    </fill>
    <fill>
      <patternFill patternType="solid">
        <fgColor rgb="FFA2D2F1"/>
        <bgColor indexed="64"/>
      </patternFill>
    </fill>
    <fill>
      <patternFill patternType="solid">
        <fgColor theme="3" tint="0.39997558519241921"/>
        <bgColor rgb="FF000000"/>
      </patternFill>
    </fill>
    <fill>
      <patternFill patternType="solid">
        <fgColor theme="3" tint="0.39997558519241921"/>
        <bgColor indexed="64"/>
      </patternFill>
    </fill>
    <fill>
      <patternFill patternType="solid">
        <fgColor theme="4" tint="0.79998168889431442"/>
        <bgColor indexed="64"/>
      </patternFill>
    </fill>
    <fill>
      <patternFill patternType="solid">
        <fgColor theme="7" tint="0.59999389629810485"/>
        <bgColor rgb="FF000000"/>
      </patternFill>
    </fill>
    <fill>
      <patternFill patternType="solid">
        <fgColor theme="7" tint="0.59999389629810485"/>
        <bgColor indexed="64"/>
      </patternFill>
    </fill>
  </fills>
  <borders count="154">
    <border>
      <left/>
      <right/>
      <top/>
      <bottom/>
      <diagonal/>
    </border>
    <border>
      <left/>
      <right/>
      <top/>
      <bottom style="thin">
        <color theme="1" tint="0.499984740745262"/>
      </bottom>
      <diagonal/>
    </border>
    <border>
      <left/>
      <right/>
      <top style="thin">
        <color theme="1" tint="0.499984740745262"/>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3"/>
      </right>
      <top/>
      <bottom/>
      <diagonal/>
    </border>
    <border>
      <left style="thin">
        <color theme="3"/>
      </left>
      <right style="thin">
        <color theme="3"/>
      </right>
      <top style="thin">
        <color theme="3"/>
      </top>
      <bottom/>
      <diagonal/>
    </border>
    <border>
      <left/>
      <right/>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1" tint="0.34998626667073579"/>
      </left>
      <right style="thin">
        <color theme="1" tint="0.499984740745262"/>
      </right>
      <top style="thin">
        <color theme="1" tint="0.499984740745262"/>
      </top>
      <bottom style="thin">
        <color theme="1" tint="0.499984740745262"/>
      </bottom>
      <diagonal/>
    </border>
    <border>
      <left/>
      <right/>
      <top/>
      <bottom style="thin">
        <color theme="3"/>
      </bottom>
      <diagonal/>
    </border>
    <border>
      <left/>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2" tint="-0.499984740745262"/>
      </left>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style="thin">
        <color theme="2"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diagonal/>
    </border>
    <border>
      <left/>
      <right style="medium">
        <color theme="1" tint="0.499984740745262"/>
      </right>
      <top style="thin">
        <color theme="1" tint="0.499984740745262"/>
      </top>
      <bottom/>
      <diagonal/>
    </border>
    <border>
      <left/>
      <right style="medium">
        <color theme="1" tint="0.499984740745262"/>
      </right>
      <top/>
      <bottom style="thin">
        <color theme="1" tint="0.499984740745262"/>
      </bottom>
      <diagonal/>
    </border>
    <border>
      <left/>
      <right style="medium">
        <color theme="1" tint="0.499984740745262"/>
      </right>
      <top style="thin">
        <color theme="1" tint="0.499984740745262"/>
      </top>
      <bottom style="thin">
        <color theme="1" tint="0.499984740745262"/>
      </bottom>
      <diagonal/>
    </border>
    <border>
      <left/>
      <right/>
      <top/>
      <bottom style="thin">
        <color theme="0" tint="-0.499984740745262"/>
      </bottom>
      <diagonal/>
    </border>
    <border>
      <left style="medium">
        <color theme="1" tint="0.499984740745262"/>
      </left>
      <right style="medium">
        <color theme="0"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right style="thin">
        <color theme="0" tint="-0.499984740745262"/>
      </right>
      <top/>
      <bottom/>
      <diagonal/>
    </border>
    <border>
      <left/>
      <right style="medium">
        <color theme="0" tint="-0.499984740745262"/>
      </right>
      <top/>
      <bottom style="thin">
        <color indexed="64"/>
      </bottom>
      <diagonal/>
    </border>
    <border>
      <left style="medium">
        <color theme="0" tint="-0.499984740745262"/>
      </left>
      <right/>
      <top style="thin">
        <color theme="1" tint="0.499984740745262"/>
      </top>
      <bottom style="thin">
        <color theme="0" tint="-0.499984740745262"/>
      </bottom>
      <diagonal/>
    </border>
    <border>
      <left/>
      <right/>
      <top style="thin">
        <color theme="1" tint="0.499984740745262"/>
      </top>
      <bottom style="thin">
        <color theme="0" tint="-0.499984740745262"/>
      </bottom>
      <diagonal/>
    </border>
    <border>
      <left style="medium">
        <color theme="1" tint="0.499984740745262"/>
      </left>
      <right/>
      <top style="thin">
        <color theme="1" tint="0.499984740745262"/>
      </top>
      <bottom style="thin">
        <color theme="1" tint="0.499984740745262"/>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medium">
        <color rgb="FFFFFFFF"/>
      </top>
      <bottom style="thick">
        <color rgb="FFFFFFFF"/>
      </bottom>
      <diagonal/>
    </border>
    <border>
      <left style="thick">
        <color rgb="FFFFFFFF"/>
      </left>
      <right/>
      <top style="medium">
        <color rgb="FFFFFFFF"/>
      </top>
      <bottom style="thick">
        <color rgb="FFFFFFFF"/>
      </bottom>
      <diagonal/>
    </border>
    <border>
      <left/>
      <right style="thick">
        <color rgb="FFFFFFFF"/>
      </right>
      <top style="medium">
        <color rgb="FFFFFFFF"/>
      </top>
      <bottom style="thick">
        <color rgb="FFFFFFFF"/>
      </bottom>
      <diagonal/>
    </border>
    <border>
      <left/>
      <right style="medium">
        <color theme="0" tint="-0.499984740745262"/>
      </right>
      <top style="thin">
        <color indexed="64"/>
      </top>
      <bottom/>
      <diagonal/>
    </border>
    <border>
      <left style="medium">
        <color theme="0" tint="-0.499984740745262"/>
      </left>
      <right style="thin">
        <color theme="0" tint="-0.499984740745262"/>
      </right>
      <top/>
      <bottom/>
      <diagonal/>
    </border>
    <border>
      <left style="thin">
        <color theme="0" tint="-0.499984740745262"/>
      </left>
      <right style="thin">
        <color theme="1" tint="0.499984740745262"/>
      </right>
      <top style="thin">
        <color theme="0" tint="-0.499984740745262"/>
      </top>
      <bottom/>
      <diagonal/>
    </border>
    <border>
      <left style="thick">
        <color rgb="FFFFFFFF"/>
      </left>
      <right style="thick">
        <color rgb="FFFFFFFF"/>
      </right>
      <top style="thick">
        <color rgb="FFFFFFFF"/>
      </top>
      <bottom style="medium">
        <color rgb="FF000000"/>
      </bottom>
      <diagonal/>
    </border>
    <border>
      <left style="thin">
        <color theme="1" tint="0.499984740745262"/>
      </left>
      <right style="medium">
        <color theme="1" tint="0.499984740745262"/>
      </right>
      <top style="thin">
        <color theme="0" tint="-0.499984740745262"/>
      </top>
      <bottom/>
      <diagonal/>
    </border>
    <border>
      <left style="medium">
        <color theme="1" tint="0.499984740745262"/>
      </left>
      <right style="medium">
        <color theme="1" tint="0.499984740745262"/>
      </right>
      <top style="thin">
        <color theme="1" tint="0.499984740745262"/>
      </top>
      <bottom/>
      <diagonal/>
    </border>
    <border>
      <left style="medium">
        <color theme="1" tint="0.499984740745262"/>
      </left>
      <right style="medium">
        <color theme="0" tint="-0.499984740745262"/>
      </right>
      <top style="thin">
        <color theme="1" tint="0.499984740745262"/>
      </top>
      <bottom/>
      <diagonal/>
    </border>
    <border>
      <left style="thin">
        <color theme="0" tint="-0.499984740745262"/>
      </left>
      <right style="thin">
        <color theme="0" tint="-0.499984740745262"/>
      </right>
      <top style="thin">
        <color indexed="64"/>
      </top>
      <bottom style="thin">
        <color indexed="64"/>
      </bottom>
      <diagonal/>
    </border>
    <border>
      <left/>
      <right/>
      <top style="thin">
        <color theme="0" tint="-0.499984740745262"/>
      </top>
      <bottom/>
      <diagonal/>
    </border>
    <border>
      <left style="medium">
        <color theme="0" tint="-0.499984740745262"/>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indexed="64"/>
      </bottom>
      <diagonal/>
    </border>
    <border>
      <left style="thick">
        <color rgb="FFFFFFFF"/>
      </left>
      <right style="thick">
        <color rgb="FFFFFFFF"/>
      </right>
      <top style="thick">
        <color rgb="FFFFFFFF"/>
      </top>
      <bottom/>
      <diagonal/>
    </border>
    <border>
      <left style="thick">
        <color rgb="FFFFFFFF"/>
      </left>
      <right style="thick">
        <color rgb="FFFFFFFF"/>
      </right>
      <top style="medium">
        <color rgb="FF000000"/>
      </top>
      <bottom style="dotted">
        <color rgb="FF000000"/>
      </bottom>
      <diagonal/>
    </border>
    <border>
      <left style="thin">
        <color theme="1" tint="0.499984740745262"/>
      </left>
      <right style="medium">
        <color theme="1" tint="0.499984740745262"/>
      </right>
      <top/>
      <bottom style="thin">
        <color theme="1" tint="0.499984740745262"/>
      </bottom>
      <diagonal/>
    </border>
    <border>
      <left style="medium">
        <color theme="1" tint="0.499984740745262"/>
      </left>
      <right style="medium">
        <color theme="1" tint="0.499984740745262"/>
      </right>
      <top/>
      <bottom style="thin">
        <color theme="1" tint="0.499984740745262"/>
      </bottom>
      <diagonal/>
    </border>
    <border>
      <left style="medium">
        <color theme="1" tint="0.499984740745262"/>
      </left>
      <right style="medium">
        <color theme="0" tint="-0.499984740745262"/>
      </right>
      <top/>
      <bottom style="thin">
        <color theme="1"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style="thin">
        <color indexed="64"/>
      </bottom>
      <diagonal/>
    </border>
    <border>
      <left/>
      <right style="thin">
        <color theme="0" tint="-0.499984740745262"/>
      </right>
      <top/>
      <bottom style="thin">
        <color indexed="64"/>
      </bottom>
      <diagonal/>
    </border>
    <border>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style="thin">
        <color theme="0" tint="-0.499984740745262"/>
      </bottom>
      <diagonal/>
    </border>
    <border>
      <left/>
      <right style="medium">
        <color theme="1" tint="0.499984740745262"/>
      </right>
      <top/>
      <bottom style="thin">
        <color theme="0" tint="-0.499984740745262"/>
      </bottom>
      <diagonal/>
    </border>
    <border>
      <left style="thick">
        <color rgb="FFFFFFFF"/>
      </left>
      <right style="thick">
        <color rgb="FFFFFFFF"/>
      </right>
      <top/>
      <bottom/>
      <diagonal/>
    </border>
    <border>
      <left style="thick">
        <color rgb="FFFFFFFF"/>
      </left>
      <right style="thick">
        <color rgb="FFFFFFFF"/>
      </right>
      <top style="dotted">
        <color rgb="FF000000"/>
      </top>
      <bottom style="dotted">
        <color rgb="FF000000"/>
      </bottom>
      <diagonal/>
    </border>
    <border>
      <left/>
      <right style="thin">
        <color theme="0" tint="-0.499984740745262"/>
      </right>
      <top/>
      <bottom style="thin">
        <color theme="1" tint="0.499984740745262"/>
      </bottom>
      <diagonal/>
    </border>
    <border>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bottom style="thin">
        <color theme="1" tint="0.499984740745262"/>
      </bottom>
      <diagonal/>
    </border>
    <border>
      <left style="thin">
        <color theme="0" tint="-0.499984740745262"/>
      </left>
      <right style="thin">
        <color theme="1" tint="0.499984740745262"/>
      </right>
      <top style="thin">
        <color indexed="64"/>
      </top>
      <bottom style="thin">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0" tint="-0.499984740745262"/>
      </right>
      <top/>
      <bottom style="thin">
        <color theme="1" tint="0.499984740745262"/>
      </bottom>
      <diagonal/>
    </border>
    <border>
      <left style="thin">
        <color theme="0" tint="-0.499984740745262"/>
      </left>
      <right style="thin">
        <color theme="0" tint="-0.499984740745262"/>
      </right>
      <top/>
      <bottom style="thin">
        <color theme="1" tint="0.499984740745262"/>
      </bottom>
      <diagonal/>
    </border>
    <border>
      <left/>
      <right style="thin">
        <color theme="0" tint="-0.499984740745262"/>
      </right>
      <top style="thin">
        <color theme="1" tint="0.499984740745262"/>
      </top>
      <bottom style="thin">
        <color theme="1" tint="0.499984740745262"/>
      </bottom>
      <diagonal/>
    </border>
    <border>
      <left style="medium">
        <color theme="0" tint="-0.499984740745262"/>
      </left>
      <right style="thin">
        <color theme="0" tint="-0.499984740745262"/>
      </right>
      <top style="thin">
        <color theme="1" tint="0.499984740745262"/>
      </top>
      <bottom style="thin">
        <color theme="1" tint="0.499984740745262"/>
      </bottom>
      <diagonal/>
    </border>
    <border>
      <left style="thin">
        <color theme="0" tint="-0.499984740745262"/>
      </left>
      <right style="thin">
        <color theme="1" tint="0.499984740745262"/>
      </right>
      <top/>
      <bottom style="thin">
        <color theme="0" tint="-0.499984740745262"/>
      </bottom>
      <diagonal/>
    </border>
    <border>
      <left/>
      <right style="thin">
        <color theme="1" tint="0.499984740745262"/>
      </right>
      <top style="thin">
        <color theme="1" tint="0.499984740745262"/>
      </top>
      <bottom style="thin">
        <color theme="0" tint="-0.499984740745262"/>
      </bottom>
      <diagonal/>
    </border>
    <border>
      <left/>
      <right style="medium">
        <color theme="0" tint="-0.499984740745262"/>
      </right>
      <top style="thin">
        <color theme="1" tint="0.499984740745262"/>
      </top>
      <bottom style="thin">
        <color theme="0" tint="-0.499984740745262"/>
      </bottom>
      <diagonal/>
    </border>
    <border>
      <left style="thin">
        <color theme="1" tint="0.499984740745262"/>
      </left>
      <right style="thin">
        <color theme="0" tint="-0.499984740745262"/>
      </right>
      <top style="thin">
        <color theme="1" tint="0.499984740745262"/>
      </top>
      <bottom style="thin">
        <color theme="1" tint="0.499984740745262"/>
      </bottom>
      <diagonal/>
    </border>
    <border>
      <left style="medium">
        <color theme="0" tint="-0.499984740745262"/>
      </left>
      <right style="thin">
        <color theme="0" tint="-0.499984740745262"/>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0" tint="-0.499984740745262"/>
      </right>
      <top style="thin">
        <color theme="1" tint="0.499984740745262"/>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1" tint="0.499984740745262"/>
      </top>
      <bottom/>
      <diagonal/>
    </border>
    <border>
      <left style="thin">
        <color theme="0" tint="-0.499984740745262"/>
      </left>
      <right style="thin">
        <color theme="0" tint="-0.499984740745262"/>
      </right>
      <top style="thin">
        <color theme="1" tint="0.499984740745262"/>
      </top>
      <bottom/>
      <diagonal/>
    </border>
    <border>
      <left/>
      <right/>
      <top style="thin">
        <color theme="0" tint="-0.499984740745262"/>
      </top>
      <bottom style="thin">
        <color theme="0" tint="-0.499984740745262"/>
      </bottom>
      <diagonal/>
    </border>
    <border>
      <left style="thin">
        <color theme="0" tint="-0.499984740745262"/>
      </left>
      <right style="thin">
        <color theme="1" tint="0.499984740745262"/>
      </right>
      <top style="thin">
        <color theme="1" tint="0.499984740745262"/>
      </top>
      <bottom style="thin">
        <color theme="1" tint="0.499984740745262"/>
      </bottom>
      <diagonal/>
    </border>
    <border>
      <left style="medium">
        <color theme="0" tint="-0.499984740745262"/>
      </left>
      <right style="thin">
        <color theme="0" tint="-0.499984740745262"/>
      </right>
      <top style="thin">
        <color theme="0" tint="-0.499984740745262"/>
      </top>
      <bottom/>
      <diagonal/>
    </border>
    <border>
      <left/>
      <right style="medium">
        <color theme="0" tint="-0.499984740745262"/>
      </right>
      <top/>
      <bottom style="thin">
        <color theme="0" tint="-0.499984740745262"/>
      </bottom>
      <diagonal/>
    </border>
    <border>
      <left style="medium">
        <color theme="0" tint="-0.499984740745262"/>
      </left>
      <right style="medium">
        <color theme="1" tint="0.499984740745262"/>
      </right>
      <top style="thin">
        <color theme="1" tint="0.499984740745262"/>
      </top>
      <bottom style="thin">
        <color theme="1" tint="0.499984740745262"/>
      </bottom>
      <diagonal/>
    </border>
    <border>
      <left style="medium">
        <color theme="0" tint="-0.499984740745262"/>
      </left>
      <right style="thin">
        <color theme="1" tint="0.499984740745262"/>
      </right>
      <top style="thin">
        <color theme="1" tint="0.499984740745262"/>
      </top>
      <bottom style="thin">
        <color theme="0" tint="-0.499984740745262"/>
      </bottom>
      <diagonal/>
    </border>
    <border>
      <left style="thin">
        <color theme="1" tint="0.499984740745262"/>
      </left>
      <right style="thin">
        <color theme="0" tint="-0.499984740745262"/>
      </right>
      <top style="thin">
        <color theme="1" tint="0.499984740745262"/>
      </top>
      <bottom style="thin">
        <color theme="0" tint="-0.499984740745262"/>
      </bottom>
      <diagonal/>
    </border>
    <border>
      <left style="medium">
        <color theme="0" tint="-0.499984740745262"/>
      </left>
      <right style="medium">
        <color theme="0" tint="-0.499984740745262"/>
      </right>
      <top style="thin">
        <color theme="1" tint="0.499984740745262"/>
      </top>
      <bottom style="thin">
        <color theme="1" tint="0.499984740745262"/>
      </bottom>
      <diagonal/>
    </border>
    <border>
      <left style="medium">
        <color theme="0" tint="-0.499984740745262"/>
      </left>
      <right style="thin">
        <color theme="1" tint="0.499984740745262"/>
      </right>
      <top style="thin">
        <color theme="1" tint="0.499984740745262"/>
      </top>
      <bottom style="thin">
        <color theme="1" tint="0.499984740745262"/>
      </bottom>
      <diagonal/>
    </border>
    <border>
      <left style="thin">
        <color theme="0" tint="-0.499984740745262"/>
      </left>
      <right/>
      <top style="thin">
        <color theme="1" tint="0.499984740745262"/>
      </top>
      <bottom style="thin">
        <color theme="1" tint="0.499984740745262"/>
      </bottom>
      <diagonal/>
    </border>
    <border>
      <left style="medium">
        <color theme="0" tint="-0.499984740745262"/>
      </left>
      <right style="thin">
        <color theme="1" tint="0.499984740745262"/>
      </right>
      <top style="thin">
        <color theme="0" tint="-0.499984740745262"/>
      </top>
      <bottom style="thin">
        <color theme="1"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medium">
        <color theme="1" tint="0.499984740745262"/>
      </left>
      <right/>
      <top style="thin">
        <color theme="1" tint="0.499984740745262"/>
      </top>
      <bottom/>
      <diagonal/>
    </border>
    <border>
      <left style="medium">
        <color theme="0" tint="-0.499984740745262"/>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style="thin">
        <color theme="1" tint="0.499984740745262"/>
      </left>
      <right style="medium">
        <color theme="0" tint="-0.499984740745262"/>
      </right>
      <top/>
      <bottom style="thin">
        <color theme="1" tint="0.499984740745262"/>
      </bottom>
      <diagonal/>
    </border>
    <border>
      <left style="thin">
        <color theme="1" tint="0.499984740745262"/>
      </left>
      <right style="medium">
        <color theme="0" tint="-0.499984740745262"/>
      </right>
      <top style="thin">
        <color theme="1" tint="0.499984740745262"/>
      </top>
      <bottom style="thin">
        <color theme="1" tint="0.499984740745262"/>
      </bottom>
      <diagonal/>
    </border>
    <border>
      <left/>
      <right style="medium">
        <color theme="0" tint="-0.499984740745262"/>
      </right>
      <top style="thin">
        <color theme="1" tint="0.499984740745262"/>
      </top>
      <bottom style="thin">
        <color theme="1" tint="0.499984740745262"/>
      </bottom>
      <diagonal/>
    </border>
    <border>
      <left style="thin">
        <color theme="0" tint="-0.499984740745262"/>
      </left>
      <right style="medium">
        <color theme="0" tint="-0.499984740745262"/>
      </right>
      <top style="thin">
        <color theme="1" tint="0.499984740745262"/>
      </top>
      <bottom/>
      <diagonal/>
    </border>
    <border>
      <left style="thin">
        <color theme="0" tint="-0.499984740745262"/>
      </left>
      <right style="medium">
        <color theme="0" tint="-0.499984740745262"/>
      </right>
      <top style="thin">
        <color theme="0" tint="-0.499984740745262"/>
      </top>
      <bottom/>
      <diagonal/>
    </border>
    <border>
      <left style="thin">
        <color theme="0" tint="-0.499984740745262"/>
      </left>
      <right style="medium">
        <color theme="0" tint="-0.499984740745262"/>
      </right>
      <top/>
      <bottom style="thin">
        <color theme="0" tint="-0.499984740745262"/>
      </bottom>
      <diagonal/>
    </border>
    <border>
      <left style="thin">
        <color theme="0" tint="-0.499984740745262"/>
      </left>
      <right style="medium">
        <color theme="0" tint="-0.499984740745262"/>
      </right>
      <top/>
      <bottom style="thin">
        <color theme="1" tint="0.499984740745262"/>
      </bottom>
      <diagonal/>
    </border>
    <border>
      <left style="thin">
        <color theme="0" tint="-0.499984740745262"/>
      </left>
      <right style="medium">
        <color theme="0" tint="-0.499984740745262"/>
      </right>
      <top/>
      <bottom/>
      <diagonal/>
    </border>
    <border>
      <left style="thick">
        <color rgb="FFFFFFFF"/>
      </left>
      <right/>
      <top style="thick">
        <color rgb="FFFFFFFF"/>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bottom style="thick">
        <color rgb="FFFFFFFF"/>
      </bottom>
      <diagonal/>
    </border>
    <border>
      <left style="thick">
        <color rgb="FFFFFFFF"/>
      </left>
      <right/>
      <top style="thick">
        <color rgb="FFFFFFFF"/>
      </top>
      <bottom style="medium">
        <color indexed="64"/>
      </bottom>
      <diagonal/>
    </border>
    <border>
      <left style="hair">
        <color indexed="64"/>
      </left>
      <right style="hair">
        <color indexed="64"/>
      </right>
      <top style="thick">
        <color rgb="FFFFFFFF"/>
      </top>
      <bottom style="medium">
        <color indexed="64"/>
      </bottom>
      <diagonal/>
    </border>
    <border>
      <left/>
      <right style="thin">
        <color indexed="64"/>
      </right>
      <top style="thick">
        <color rgb="FFFFFFFF"/>
      </top>
      <bottom style="medium">
        <color indexed="64"/>
      </bottom>
      <diagonal/>
    </border>
    <border>
      <left style="thin">
        <color indexed="64"/>
      </left>
      <right/>
      <top style="medium">
        <color indexed="64"/>
      </top>
      <bottom style="medium">
        <color indexed="64"/>
      </bottom>
      <diagonal/>
    </border>
    <border>
      <left style="thin">
        <color indexed="64"/>
      </left>
      <right style="hair">
        <color indexed="64"/>
      </right>
      <top style="thick">
        <color rgb="FFFFFFFF"/>
      </top>
      <bottom style="medium">
        <color indexed="64"/>
      </bottom>
      <diagonal/>
    </border>
    <border>
      <left/>
      <right style="hair">
        <color indexed="64"/>
      </right>
      <top style="thick">
        <color rgb="FFFFFFFF"/>
      </top>
      <bottom style="medium">
        <color indexed="64"/>
      </bottom>
      <diagonal/>
    </border>
    <border>
      <left/>
      <right/>
      <top style="thick">
        <color rgb="FFFFFFFF"/>
      </top>
      <bottom style="medium">
        <color indexed="64"/>
      </bottom>
      <diagonal/>
    </border>
    <border>
      <left style="thick">
        <color rgb="FFFFFFFF"/>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right style="hair">
        <color indexed="64"/>
      </right>
      <top style="medium">
        <color indexed="64"/>
      </top>
      <bottom style="medium">
        <color indexed="64"/>
      </bottom>
      <diagonal/>
    </border>
    <border>
      <left/>
      <right/>
      <top style="medium">
        <color indexed="64"/>
      </top>
      <bottom style="medium">
        <color indexed="64"/>
      </bottom>
      <diagonal/>
    </border>
    <border>
      <left style="thick">
        <color rgb="FFFFFFFF"/>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style="thick">
        <color rgb="FFFFFFFF"/>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ck">
        <color rgb="FFFFFFFF"/>
      </left>
      <right style="hair">
        <color indexed="64"/>
      </right>
      <top style="medium">
        <color indexed="64"/>
      </top>
      <bottom style="medium">
        <color indexed="64"/>
      </bottom>
      <diagonal/>
    </border>
    <border>
      <left style="thick">
        <color rgb="FFFFFFFF"/>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ck">
        <color rgb="FFFFFFFF"/>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ck">
        <color rgb="FFFFFFFF"/>
      </left>
      <right style="thick">
        <color rgb="FFFFFFFF"/>
      </right>
      <top style="dotted">
        <color rgb="FF000000"/>
      </top>
      <bottom/>
      <diagonal/>
    </border>
    <border>
      <left/>
      <right/>
      <top style="medium">
        <color indexed="64"/>
      </top>
      <bottom style="dotted">
        <color rgb="FF000000"/>
      </bottom>
      <diagonal/>
    </border>
    <border>
      <left/>
      <right/>
      <top style="medium">
        <color indexed="64"/>
      </top>
      <bottom/>
      <diagonal/>
    </border>
    <border>
      <left style="thick">
        <color rgb="FFFFFFFF"/>
      </left>
      <right style="thick">
        <color rgb="FFFFFFFF"/>
      </right>
      <top style="dotted">
        <color rgb="FF000000"/>
      </top>
      <bottom style="medium">
        <color indexed="64"/>
      </bottom>
      <diagonal/>
    </border>
    <border>
      <left style="medium">
        <color theme="0" tint="-0.499984740745262"/>
      </left>
      <right style="medium">
        <color theme="0" tint="-0.499984740745262"/>
      </right>
      <top/>
      <bottom style="thin">
        <color theme="0" tint="-0.499984740745262"/>
      </bottom>
      <diagonal/>
    </border>
    <border>
      <left style="medium">
        <color theme="0" tint="-0.499984740745262"/>
      </left>
      <right style="medium">
        <color theme="0" tint="-0.499984740745262"/>
      </right>
      <top/>
      <bottom/>
      <diagonal/>
    </border>
    <border>
      <left/>
      <right style="medium">
        <color theme="0" tint="-0.499984740745262"/>
      </right>
      <top/>
      <bottom/>
      <diagonal/>
    </border>
    <border>
      <left style="medium">
        <color theme="1" tint="0.499984740745262"/>
      </left>
      <right style="medium">
        <color theme="0" tint="-0.499984740745262"/>
      </right>
      <top/>
      <bottom/>
      <diagonal/>
    </border>
    <border>
      <left style="medium">
        <color theme="1" tint="0.499984740745262"/>
      </left>
      <right style="medium">
        <color theme="0" tint="-0.499984740745262"/>
      </right>
      <top/>
      <bottom style="thin">
        <color theme="0" tint="-0.499984740745262"/>
      </bottom>
      <diagonal/>
    </border>
    <border>
      <left style="medium">
        <color theme="1" tint="0.499984740745262"/>
      </left>
      <right/>
      <top/>
      <bottom style="thin">
        <color theme="0" tint="-0.499984740745262"/>
      </bottom>
      <diagonal/>
    </border>
    <border>
      <left style="medium">
        <color theme="1" tint="0.499984740745262"/>
      </left>
      <right style="medium">
        <color theme="0" tint="-0.499984740745262"/>
      </right>
      <top style="thin">
        <color theme="0" tint="-0.499984740745262"/>
      </top>
      <bottom style="thin">
        <color theme="0" tint="-0.499984740745262"/>
      </bottom>
      <diagonal/>
    </border>
    <border>
      <left style="medium">
        <color theme="1" tint="0.499984740745262"/>
      </left>
      <right/>
      <top style="thin">
        <color theme="0" tint="-0.499984740745262"/>
      </top>
      <bottom/>
      <diagonal/>
    </border>
    <border>
      <left style="thin">
        <color theme="0" tint="-0.499984740745262"/>
      </left>
      <right style="thin">
        <color theme="0" tint="-0.499984740745262"/>
      </right>
      <top style="thin">
        <color indexed="64"/>
      </top>
      <bottom style="thin">
        <color theme="0" tint="-0.499984740745262"/>
      </bottom>
      <diagonal/>
    </border>
  </borders>
  <cellStyleXfs count="43">
    <xf numFmtId="0" fontId="0" fillId="0" borderId="0"/>
    <xf numFmtId="0" fontId="9" fillId="0" borderId="0"/>
    <xf numFmtId="0" fontId="9" fillId="0" borderId="0"/>
    <xf numFmtId="43"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67" fontId="6" fillId="0" borderId="0" applyFont="0" applyFill="0" applyBorder="0" applyAlignment="0" applyProtection="0"/>
    <xf numFmtId="0" fontId="11" fillId="0" borderId="0"/>
    <xf numFmtId="0" fontId="12" fillId="0" borderId="0"/>
    <xf numFmtId="0" fontId="6" fillId="0" borderId="0"/>
    <xf numFmtId="0" fontId="11" fillId="0" borderId="0"/>
    <xf numFmtId="0" fontId="6" fillId="0" borderId="0"/>
    <xf numFmtId="0" fontId="12" fillId="0" borderId="0"/>
    <xf numFmtId="164" fontId="11" fillId="0" borderId="0" applyFont="0" applyFill="0" applyBorder="0" applyAlignment="0" applyProtection="0"/>
    <xf numFmtId="164" fontId="11" fillId="0" borderId="0" applyFont="0" applyFill="0" applyBorder="0" applyAlignment="0" applyProtection="0"/>
    <xf numFmtId="164" fontId="10" fillId="0" borderId="0" applyFont="0" applyFill="0" applyBorder="0" applyAlignment="0" applyProtection="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6" fillId="0" borderId="0"/>
    <xf numFmtId="0" fontId="7" fillId="0" borderId="0"/>
    <xf numFmtId="9" fontId="11" fillId="0" borderId="0" applyFont="0" applyFill="0" applyBorder="0" applyAlignment="0" applyProtection="0"/>
    <xf numFmtId="9" fontId="7"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0" fontId="9" fillId="0" borderId="0"/>
    <xf numFmtId="165" fontId="10" fillId="0" borderId="0" applyFont="0" applyFill="0" applyBorder="0" applyAlignment="0" applyProtection="0"/>
    <xf numFmtId="165" fontId="6" fillId="0" borderId="0" applyFont="0" applyFill="0" applyBorder="0" applyAlignment="0" applyProtection="0"/>
    <xf numFmtId="164" fontId="10" fillId="0" borderId="0" applyFont="0" applyFill="0" applyBorder="0" applyAlignment="0" applyProtection="0"/>
    <xf numFmtId="0" fontId="5" fillId="0" borderId="0"/>
    <xf numFmtId="0" fontId="3" fillId="0" borderId="0"/>
    <xf numFmtId="164"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cellStyleXfs>
  <cellXfs count="346">
    <xf numFmtId="0" fontId="0" fillId="0" borderId="0" xfId="0"/>
    <xf numFmtId="0" fontId="14" fillId="0" borderId="0" xfId="17" applyFont="1" applyFill="1" applyBorder="1" applyAlignment="1"/>
    <xf numFmtId="164" fontId="0" fillId="0" borderId="0" xfId="0" applyNumberFormat="1"/>
    <xf numFmtId="0" fontId="0" fillId="0" borderId="0" xfId="0" applyFill="1"/>
    <xf numFmtId="169" fontId="0" fillId="0" borderId="0" xfId="0" applyNumberFormat="1"/>
    <xf numFmtId="0" fontId="0" fillId="2" borderId="0" xfId="0" applyFill="1" applyBorder="1"/>
    <xf numFmtId="0" fontId="0" fillId="0" borderId="0" xfId="0" applyAlignment="1">
      <alignment vertical="center"/>
    </xf>
    <xf numFmtId="0" fontId="0" fillId="0" borderId="0" xfId="0" applyAlignment="1">
      <alignment wrapText="1"/>
    </xf>
    <xf numFmtId="0" fontId="15" fillId="0" borderId="0" xfId="27" applyFont="1" applyFill="1" applyBorder="1" applyAlignment="1">
      <alignment horizontal="left" vertical="center" wrapText="1"/>
    </xf>
    <xf numFmtId="0" fontId="0" fillId="0" borderId="0" xfId="0" applyFill="1" applyBorder="1"/>
    <xf numFmtId="0" fontId="17" fillId="0" borderId="0" xfId="27" applyFont="1" applyFill="1" applyBorder="1" applyAlignment="1">
      <alignment horizontal="center" vertical="center" wrapText="1"/>
    </xf>
    <xf numFmtId="169" fontId="0" fillId="0" borderId="0" xfId="0" applyNumberFormat="1" applyFill="1" applyBorder="1"/>
    <xf numFmtId="169" fontId="0" fillId="0" borderId="0" xfId="0" applyNumberFormat="1" applyFill="1" applyBorder="1" applyAlignment="1">
      <alignment vertical="center"/>
    </xf>
    <xf numFmtId="166" fontId="0" fillId="0" borderId="0" xfId="0" applyNumberFormat="1" applyFill="1" applyBorder="1"/>
    <xf numFmtId="169" fontId="0" fillId="0" borderId="0" xfId="0" applyNumberFormat="1" applyFill="1" applyBorder="1" applyAlignment="1">
      <alignment vertical="center" wrapText="1"/>
    </xf>
    <xf numFmtId="0" fontId="0" fillId="0" borderId="0" xfId="0" applyNumberFormat="1" applyFill="1" applyBorder="1" applyAlignment="1">
      <alignment vertical="center" wrapText="1"/>
    </xf>
    <xf numFmtId="0" fontId="0" fillId="0" borderId="0" xfId="0" applyFill="1" applyBorder="1" applyAlignment="1">
      <alignment vertical="center"/>
    </xf>
    <xf numFmtId="0" fontId="8" fillId="5" borderId="6" xfId="27" applyFont="1" applyFill="1" applyBorder="1" applyAlignment="1">
      <alignment horizontal="left" vertical="center" wrapText="1"/>
    </xf>
    <xf numFmtId="170" fontId="8" fillId="5" borderId="6" xfId="27" applyNumberFormat="1" applyFont="1" applyFill="1" applyBorder="1" applyAlignment="1">
      <alignment horizontal="right" vertical="center" wrapText="1"/>
    </xf>
    <xf numFmtId="0" fontId="8" fillId="6" borderId="8" xfId="27" applyFont="1" applyFill="1" applyBorder="1" applyAlignment="1">
      <alignment horizontal="center" vertical="center" wrapText="1"/>
    </xf>
    <xf numFmtId="170" fontId="8" fillId="5" borderId="9" xfId="27" applyNumberFormat="1" applyFont="1" applyFill="1" applyBorder="1" applyAlignment="1">
      <alignment horizontal="right" vertical="center" wrapText="1"/>
    </xf>
    <xf numFmtId="0" fontId="8" fillId="6" borderId="10" xfId="27" applyFont="1" applyFill="1" applyBorder="1" applyAlignment="1">
      <alignment horizontal="center" vertical="center" wrapText="1"/>
    </xf>
    <xf numFmtId="0" fontId="8" fillId="6" borderId="12" xfId="27" applyFont="1" applyFill="1" applyBorder="1" applyAlignment="1">
      <alignment horizontal="center" vertical="center" wrapText="1"/>
    </xf>
    <xf numFmtId="0" fontId="8" fillId="5" borderId="11" xfId="27" applyFont="1" applyFill="1" applyBorder="1" applyAlignment="1">
      <alignment horizontal="left" vertical="center" wrapText="1"/>
    </xf>
    <xf numFmtId="170" fontId="8" fillId="5" borderId="0" xfId="27" applyNumberFormat="1" applyFont="1" applyFill="1" applyBorder="1" applyAlignment="1">
      <alignment horizontal="right" vertical="center" wrapText="1"/>
    </xf>
    <xf numFmtId="0" fontId="8" fillId="5" borderId="12" xfId="27" applyFont="1" applyFill="1" applyBorder="1" applyAlignment="1">
      <alignment horizontal="left" vertical="center" wrapText="1"/>
    </xf>
    <xf numFmtId="0" fontId="0" fillId="0" borderId="12" xfId="0" applyBorder="1"/>
    <xf numFmtId="0" fontId="0" fillId="4" borderId="12" xfId="0" applyFill="1" applyBorder="1"/>
    <xf numFmtId="4" fontId="0" fillId="4" borderId="12" xfId="0" applyNumberFormat="1" applyFill="1" applyBorder="1"/>
    <xf numFmtId="0" fontId="0" fillId="0" borderId="13" xfId="0" applyBorder="1"/>
    <xf numFmtId="4" fontId="0" fillId="4" borderId="13" xfId="0" applyNumberFormat="1" applyFill="1" applyBorder="1"/>
    <xf numFmtId="4" fontId="0" fillId="3" borderId="13" xfId="0" applyNumberFormat="1" applyFill="1" applyBorder="1" applyAlignment="1">
      <alignment horizontal="center" vertical="center"/>
    </xf>
    <xf numFmtId="0" fontId="0" fillId="4" borderId="13" xfId="0" applyFill="1" applyBorder="1"/>
    <xf numFmtId="0" fontId="18" fillId="0" borderId="22" xfId="0" applyFont="1" applyBorder="1" applyAlignment="1">
      <alignment horizontal="right" vertical="center" wrapText="1"/>
    </xf>
    <xf numFmtId="0" fontId="18" fillId="4" borderId="22" xfId="0" applyFont="1" applyFill="1" applyBorder="1" applyAlignment="1">
      <alignment horizontal="left" vertical="center" wrapText="1"/>
    </xf>
    <xf numFmtId="0" fontId="0" fillId="4" borderId="22" xfId="0" applyFill="1" applyBorder="1" applyAlignment="1">
      <alignment horizontal="center" vertical="center" wrapText="1"/>
    </xf>
    <xf numFmtId="0" fontId="13" fillId="4" borderId="20" xfId="0" applyFont="1" applyFill="1" applyBorder="1" applyAlignment="1">
      <alignment horizontal="center" vertical="center" wrapText="1"/>
    </xf>
    <xf numFmtId="49" fontId="18" fillId="0" borderId="18" xfId="0" applyNumberFormat="1" applyFont="1" applyBorder="1" applyAlignment="1">
      <alignment horizontal="right" vertical="center"/>
    </xf>
    <xf numFmtId="49" fontId="18" fillId="0" borderId="18" xfId="0" applyNumberFormat="1" applyFont="1" applyBorder="1" applyAlignment="1">
      <alignment horizontal="right"/>
    </xf>
    <xf numFmtId="0" fontId="0" fillId="4" borderId="18" xfId="0" applyFill="1" applyBorder="1" applyAlignment="1">
      <alignment vertical="center" wrapText="1"/>
    </xf>
    <xf numFmtId="0" fontId="0" fillId="4" borderId="22" xfId="0" applyFill="1" applyBorder="1" applyAlignment="1">
      <alignment vertical="center" wrapText="1"/>
    </xf>
    <xf numFmtId="4" fontId="13" fillId="4" borderId="12" xfId="0" applyNumberFormat="1" applyFont="1" applyFill="1" applyBorder="1"/>
    <xf numFmtId="0" fontId="0" fillId="0" borderId="0" xfId="0" applyFill="1" applyBorder="1" applyAlignment="1">
      <alignment wrapText="1"/>
    </xf>
    <xf numFmtId="0" fontId="13" fillId="0" borderId="0" xfId="0" applyFont="1" applyFill="1" applyBorder="1" applyAlignment="1">
      <alignment horizontal="center"/>
    </xf>
    <xf numFmtId="4" fontId="13" fillId="4" borderId="13" xfId="0" applyNumberFormat="1" applyFont="1" applyFill="1" applyBorder="1"/>
    <xf numFmtId="0" fontId="23" fillId="8" borderId="31" xfId="0" applyFont="1" applyFill="1" applyBorder="1" applyAlignment="1">
      <alignment horizontal="left" wrapText="1" readingOrder="1"/>
    </xf>
    <xf numFmtId="0" fontId="23" fillId="8" borderId="32" xfId="0" applyFont="1" applyFill="1" applyBorder="1" applyAlignment="1">
      <alignment horizontal="left" wrapText="1" readingOrder="1"/>
    </xf>
    <xf numFmtId="0" fontId="24" fillId="8" borderId="32" xfId="0" applyFont="1" applyFill="1" applyBorder="1" applyAlignment="1">
      <alignment horizontal="left" wrapText="1" readingOrder="1"/>
    </xf>
    <xf numFmtId="0" fontId="13" fillId="4" borderId="36" xfId="0" applyFont="1" applyFill="1" applyBorder="1" applyAlignment="1">
      <alignment horizontal="center" vertical="center"/>
    </xf>
    <xf numFmtId="0" fontId="8" fillId="6" borderId="37" xfId="27" applyFont="1" applyFill="1" applyBorder="1" applyAlignment="1">
      <alignment horizontal="center" vertical="center" wrapText="1"/>
    </xf>
    <xf numFmtId="0" fontId="8" fillId="6" borderId="28" xfId="27" applyFont="1" applyFill="1" applyBorder="1" applyAlignment="1">
      <alignment horizontal="center" vertical="center" wrapText="1"/>
    </xf>
    <xf numFmtId="0" fontId="24" fillId="9" borderId="31" xfId="0" applyFont="1" applyFill="1" applyBorder="1" applyAlignment="1">
      <alignment horizontal="left" wrapText="1" indent="1" readingOrder="1"/>
    </xf>
    <xf numFmtId="0" fontId="25" fillId="0" borderId="38" xfId="0" applyFont="1" applyBorder="1" applyAlignment="1">
      <alignment horizontal="left" wrapText="1" readingOrder="1"/>
    </xf>
    <xf numFmtId="0" fontId="25" fillId="10" borderId="38" xfId="0" applyFont="1" applyFill="1" applyBorder="1" applyAlignment="1">
      <alignment horizontal="center" vertical="center" wrapText="1" readingOrder="1"/>
    </xf>
    <xf numFmtId="4" fontId="25" fillId="11" borderId="38" xfId="0" applyNumberFormat="1" applyFont="1" applyFill="1" applyBorder="1" applyAlignment="1">
      <alignment horizontal="center" vertical="center" wrapText="1" readingOrder="1"/>
    </xf>
    <xf numFmtId="0" fontId="4" fillId="3" borderId="43" xfId="0" applyFont="1" applyFill="1" applyBorder="1" applyAlignment="1">
      <alignment horizontal="center" vertical="center" wrapText="1"/>
    </xf>
    <xf numFmtId="4" fontId="0" fillId="3" borderId="45" xfId="0" applyNumberFormat="1" applyFill="1" applyBorder="1" applyAlignment="1">
      <alignment horizontal="center" vertical="center"/>
    </xf>
    <xf numFmtId="4" fontId="0" fillId="3" borderId="46" xfId="0" applyNumberFormat="1" applyFill="1" applyBorder="1" applyAlignment="1">
      <alignment horizontal="center" vertical="center"/>
    </xf>
    <xf numFmtId="0" fontId="25" fillId="0" borderId="49" xfId="0" applyFont="1" applyBorder="1" applyAlignment="1">
      <alignment horizontal="left" wrapText="1" readingOrder="1"/>
    </xf>
    <xf numFmtId="0" fontId="25" fillId="10" borderId="49" xfId="0" applyFont="1" applyFill="1" applyBorder="1" applyAlignment="1">
      <alignment horizontal="center" vertical="center" wrapText="1" readingOrder="1"/>
    </xf>
    <xf numFmtId="4" fontId="25" fillId="11" borderId="49" xfId="0" applyNumberFormat="1" applyFont="1" applyFill="1" applyBorder="1" applyAlignment="1">
      <alignment horizontal="center" vertical="center" wrapText="1" readingOrder="1"/>
    </xf>
    <xf numFmtId="0" fontId="4" fillId="3" borderId="53" xfId="0" applyFont="1" applyFill="1" applyBorder="1" applyAlignment="1">
      <alignment horizontal="center" vertical="center" wrapText="1"/>
    </xf>
    <xf numFmtId="4" fontId="0" fillId="3" borderId="54" xfId="0" applyNumberFormat="1" applyFill="1" applyBorder="1" applyAlignment="1">
      <alignment horizontal="center" vertical="center"/>
    </xf>
    <xf numFmtId="4" fontId="0" fillId="3" borderId="55" xfId="0" applyNumberFormat="1" applyFill="1" applyBorder="1" applyAlignment="1">
      <alignment horizontal="center" vertical="center"/>
    </xf>
    <xf numFmtId="4" fontId="0" fillId="3" borderId="57" xfId="0" applyNumberFormat="1" applyFill="1" applyBorder="1" applyAlignment="1">
      <alignment horizontal="center" vertical="center"/>
    </xf>
    <xf numFmtId="0" fontId="25" fillId="0" borderId="61" xfId="0" applyFont="1" applyBorder="1" applyAlignment="1">
      <alignment horizontal="left" wrapText="1" readingOrder="1"/>
    </xf>
    <xf numFmtId="0" fontId="25" fillId="10" borderId="61" xfId="0" applyFont="1" applyFill="1" applyBorder="1" applyAlignment="1">
      <alignment horizontal="center" vertical="center" wrapText="1" readingOrder="1"/>
    </xf>
    <xf numFmtId="4" fontId="25" fillId="11" borderId="61" xfId="0" applyNumberFormat="1" applyFont="1" applyFill="1" applyBorder="1" applyAlignment="1">
      <alignment horizontal="center" vertical="center" wrapText="1" readingOrder="1"/>
    </xf>
    <xf numFmtId="0" fontId="18" fillId="0" borderId="22" xfId="0" applyFont="1" applyBorder="1" applyAlignment="1">
      <alignment horizontal="right" vertical="center"/>
    </xf>
    <xf numFmtId="0" fontId="0" fillId="0" borderId="24" xfId="0" applyBorder="1"/>
    <xf numFmtId="0" fontId="4" fillId="0" borderId="13" xfId="0" applyFont="1" applyBorder="1"/>
    <xf numFmtId="0" fontId="4" fillId="0" borderId="63" xfId="0" applyFont="1" applyBorder="1"/>
    <xf numFmtId="0" fontId="0" fillId="0" borderId="64" xfId="0" applyBorder="1"/>
    <xf numFmtId="4" fontId="0" fillId="0" borderId="65" xfId="0" applyNumberFormat="1" applyFill="1" applyBorder="1" applyAlignment="1">
      <alignment horizontal="center" vertical="center"/>
    </xf>
    <xf numFmtId="0" fontId="0" fillId="0" borderId="25" xfId="0" applyBorder="1"/>
    <xf numFmtId="0" fontId="0" fillId="0" borderId="66" xfId="0" applyBorder="1"/>
    <xf numFmtId="0" fontId="0" fillId="0" borderId="62" xfId="0" applyBorder="1"/>
    <xf numFmtId="0" fontId="0" fillId="0" borderId="68" xfId="0" applyBorder="1"/>
    <xf numFmtId="0" fontId="4" fillId="0" borderId="69" xfId="0" applyFont="1" applyBorder="1"/>
    <xf numFmtId="0" fontId="0" fillId="0" borderId="70" xfId="0" applyBorder="1"/>
    <xf numFmtId="10" fontId="0" fillId="0" borderId="71" xfId="0" applyNumberFormat="1" applyFill="1" applyBorder="1" applyAlignment="1">
      <alignment horizontal="center" vertical="center"/>
    </xf>
    <xf numFmtId="10" fontId="0" fillId="0" borderId="72" xfId="0" applyNumberFormat="1" applyFill="1" applyBorder="1" applyAlignment="1">
      <alignment horizontal="center" vertical="center"/>
    </xf>
    <xf numFmtId="10" fontId="0" fillId="0" borderId="13" xfId="0" applyNumberFormat="1" applyFill="1" applyBorder="1" applyAlignment="1">
      <alignment horizontal="center" vertical="center"/>
    </xf>
    <xf numFmtId="0" fontId="4" fillId="3" borderId="0" xfId="0" applyFont="1" applyFill="1" applyBorder="1" applyAlignment="1">
      <alignment horizontal="center" vertical="center" wrapText="1"/>
    </xf>
    <xf numFmtId="4" fontId="0" fillId="3" borderId="78" xfId="0" applyNumberFormat="1" applyFill="1" applyBorder="1" applyAlignment="1">
      <alignment horizontal="center" vertical="center"/>
    </xf>
    <xf numFmtId="0" fontId="25" fillId="0" borderId="49" xfId="0" applyFont="1" applyBorder="1" applyAlignment="1">
      <alignment horizontal="left" vertical="center" wrapText="1" readingOrder="1"/>
    </xf>
    <xf numFmtId="0" fontId="4" fillId="3" borderId="63" xfId="0" applyFont="1" applyFill="1" applyBorder="1" applyAlignment="1">
      <alignment horizontal="center" vertical="center" wrapText="1"/>
    </xf>
    <xf numFmtId="4" fontId="0" fillId="3" borderId="81" xfId="0" applyNumberFormat="1" applyFill="1" applyBorder="1" applyAlignment="1">
      <alignment horizontal="center" vertical="center"/>
    </xf>
    <xf numFmtId="9" fontId="0" fillId="0" borderId="10" xfId="0" applyNumberFormat="1" applyBorder="1" applyAlignment="1">
      <alignment horizontal="center" vertical="center"/>
    </xf>
    <xf numFmtId="0" fontId="0" fillId="0" borderId="82" xfId="0" applyBorder="1"/>
    <xf numFmtId="0" fontId="0" fillId="4" borderId="24" xfId="0" applyFill="1" applyBorder="1"/>
    <xf numFmtId="0" fontId="4" fillId="4" borderId="13" xfId="0" applyFont="1" applyFill="1" applyBorder="1"/>
    <xf numFmtId="0" fontId="4" fillId="4" borderId="74" xfId="0" applyFont="1" applyFill="1" applyBorder="1"/>
    <xf numFmtId="0" fontId="4" fillId="4" borderId="10" xfId="0" applyFont="1" applyFill="1" applyBorder="1"/>
    <xf numFmtId="0" fontId="0" fillId="4" borderId="70" xfId="0" applyFill="1" applyBorder="1"/>
    <xf numFmtId="4" fontId="0" fillId="4" borderId="70" xfId="0" applyNumberFormat="1" applyFill="1" applyBorder="1"/>
    <xf numFmtId="4" fontId="4" fillId="4" borderId="85" xfId="0" applyNumberFormat="1" applyFont="1" applyFill="1" applyBorder="1"/>
    <xf numFmtId="0" fontId="4" fillId="4" borderId="86" xfId="0" applyFont="1" applyFill="1" applyBorder="1"/>
    <xf numFmtId="0" fontId="4" fillId="4" borderId="87" xfId="0" applyFont="1" applyFill="1" applyBorder="1"/>
    <xf numFmtId="0" fontId="4" fillId="4" borderId="73" xfId="0" applyFont="1" applyFill="1" applyBorder="1"/>
    <xf numFmtId="0" fontId="0" fillId="4" borderId="11" xfId="0" applyFill="1" applyBorder="1" applyAlignment="1">
      <alignment vertical="center" wrapText="1"/>
    </xf>
    <xf numFmtId="0" fontId="0" fillId="4" borderId="88" xfId="0" applyFill="1" applyBorder="1" applyAlignment="1">
      <alignment vertical="center" wrapText="1"/>
    </xf>
    <xf numFmtId="0" fontId="13" fillId="4" borderId="88" xfId="0" applyFont="1" applyFill="1" applyBorder="1" applyAlignment="1">
      <alignment horizontal="left" vertical="center" wrapText="1"/>
    </xf>
    <xf numFmtId="0" fontId="0" fillId="4" borderId="88" xfId="0" applyFill="1" applyBorder="1"/>
    <xf numFmtId="0" fontId="0" fillId="4" borderId="89" xfId="0" applyFill="1" applyBorder="1"/>
    <xf numFmtId="0" fontId="0" fillId="4" borderId="11" xfId="0" applyFill="1" applyBorder="1"/>
    <xf numFmtId="4" fontId="13" fillId="4" borderId="70" xfId="0" applyNumberFormat="1" applyFont="1" applyFill="1" applyBorder="1"/>
    <xf numFmtId="4" fontId="13" fillId="4" borderId="90" xfId="0" applyNumberFormat="1" applyFont="1" applyFill="1" applyBorder="1"/>
    <xf numFmtId="4" fontId="13" fillId="4" borderId="85" xfId="0" applyNumberFormat="1" applyFont="1" applyFill="1" applyBorder="1"/>
    <xf numFmtId="171" fontId="8" fillId="5" borderId="5" xfId="36" applyNumberFormat="1" applyFont="1" applyFill="1" applyBorder="1" applyAlignment="1">
      <alignment horizontal="right"/>
    </xf>
    <xf numFmtId="171" fontId="6" fillId="0" borderId="3" xfId="36" applyNumberFormat="1" applyFont="1" applyFill="1" applyBorder="1" applyAlignment="1">
      <alignment horizontal="right"/>
    </xf>
    <xf numFmtId="171" fontId="8" fillId="5" borderId="10" xfId="27" applyNumberFormat="1" applyFont="1" applyFill="1" applyBorder="1" applyAlignment="1">
      <alignment horizontal="right" vertical="center" wrapText="1"/>
    </xf>
    <xf numFmtId="171" fontId="8" fillId="5" borderId="13" xfId="27" applyNumberFormat="1" applyFont="1" applyFill="1" applyBorder="1" applyAlignment="1">
      <alignment horizontal="right" vertical="center" wrapText="1"/>
    </xf>
    <xf numFmtId="171" fontId="6" fillId="0" borderId="12" xfId="36" applyNumberFormat="1" applyFont="1" applyFill="1" applyBorder="1" applyAlignment="1">
      <alignment horizontal="right"/>
    </xf>
    <xf numFmtId="171" fontId="8" fillId="5" borderId="12" xfId="36" applyNumberFormat="1" applyFont="1" applyFill="1" applyBorder="1" applyAlignment="1">
      <alignment horizontal="right"/>
    </xf>
    <xf numFmtId="171" fontId="8" fillId="5" borderId="12" xfId="36" applyNumberFormat="1" applyFont="1" applyFill="1" applyBorder="1" applyAlignment="1">
      <alignment horizontal="right" wrapText="1"/>
    </xf>
    <xf numFmtId="171" fontId="8" fillId="6" borderId="7" xfId="36" applyNumberFormat="1" applyFont="1" applyFill="1" applyBorder="1" applyAlignment="1">
      <alignment horizontal="right" wrapText="1"/>
    </xf>
    <xf numFmtId="171" fontId="8" fillId="6" borderId="7" xfId="36" applyNumberFormat="1" applyFont="1" applyFill="1" applyBorder="1" applyAlignment="1">
      <alignment horizontal="right"/>
    </xf>
    <xf numFmtId="171" fontId="8" fillId="6" borderId="3" xfId="36" applyNumberFormat="1" applyFont="1" applyFill="1" applyBorder="1" applyAlignment="1">
      <alignment horizontal="right" vertical="center"/>
    </xf>
    <xf numFmtId="0" fontId="0" fillId="0" borderId="17" xfId="0" applyBorder="1" applyAlignment="1">
      <alignment horizontal="center"/>
    </xf>
    <xf numFmtId="0" fontId="13" fillId="2" borderId="0" xfId="0" applyFont="1" applyFill="1"/>
    <xf numFmtId="0" fontId="0" fillId="2" borderId="0" xfId="0" applyFill="1"/>
    <xf numFmtId="0" fontId="0" fillId="2" borderId="1" xfId="0" applyFill="1" applyBorder="1"/>
    <xf numFmtId="0" fontId="6" fillId="2" borderId="0" xfId="37" applyFont="1" applyFill="1"/>
    <xf numFmtId="171" fontId="6" fillId="2" borderId="0" xfId="37" applyNumberFormat="1" applyFont="1" applyFill="1" applyAlignment="1">
      <alignment horizontal="right"/>
    </xf>
    <xf numFmtId="0" fontId="15" fillId="2" borderId="6" xfId="27" applyFont="1" applyFill="1" applyBorder="1" applyAlignment="1">
      <alignment horizontal="left" vertical="center" wrapText="1"/>
    </xf>
    <xf numFmtId="171" fontId="8" fillId="2" borderId="6" xfId="36" applyNumberFormat="1" applyFont="1" applyFill="1" applyBorder="1" applyAlignment="1">
      <alignment horizontal="right" wrapText="1"/>
    </xf>
    <xf numFmtId="171" fontId="8" fillId="2" borderId="6" xfId="36" applyNumberFormat="1" applyFont="1" applyFill="1" applyBorder="1" applyAlignment="1">
      <alignment horizontal="right"/>
    </xf>
    <xf numFmtId="171" fontId="6" fillId="2" borderId="0" xfId="36" applyNumberFormat="1" applyFont="1" applyFill="1" applyBorder="1" applyAlignment="1">
      <alignment horizontal="right"/>
    </xf>
    <xf numFmtId="171" fontId="19" fillId="2" borderId="0" xfId="0" applyNumberFormat="1" applyFont="1" applyFill="1" applyAlignment="1">
      <alignment horizontal="right"/>
    </xf>
    <xf numFmtId="0" fontId="22" fillId="2" borderId="0" xfId="0" applyFont="1" applyFill="1" applyAlignment="1">
      <alignment horizontal="left" vertical="center"/>
    </xf>
    <xf numFmtId="0" fontId="13" fillId="2" borderId="0" xfId="0" applyFont="1" applyFill="1" applyAlignment="1">
      <alignment horizontal="left" vertical="center"/>
    </xf>
    <xf numFmtId="0" fontId="0" fillId="2" borderId="0" xfId="0" applyFill="1" applyAlignment="1">
      <alignment vertical="center" wrapText="1"/>
    </xf>
    <xf numFmtId="0" fontId="0" fillId="2" borderId="23" xfId="0" applyFill="1" applyBorder="1"/>
    <xf numFmtId="4" fontId="0" fillId="2" borderId="0" xfId="0" applyNumberFormat="1" applyFill="1"/>
    <xf numFmtId="0" fontId="0" fillId="2" borderId="2" xfId="0" applyFill="1" applyBorder="1"/>
    <xf numFmtId="0" fontId="26" fillId="2" borderId="0" xfId="0" applyFont="1" applyFill="1"/>
    <xf numFmtId="0" fontId="4" fillId="2" borderId="0" xfId="0" applyFont="1" applyFill="1"/>
    <xf numFmtId="0" fontId="21" fillId="2" borderId="0" xfId="0" applyFont="1" applyFill="1"/>
    <xf numFmtId="4" fontId="0" fillId="0" borderId="91" xfId="0" applyNumberFormat="1" applyFill="1" applyBorder="1" applyAlignment="1">
      <alignment horizontal="center" vertical="center"/>
    </xf>
    <xf numFmtId="0" fontId="20" fillId="0" borderId="0" xfId="0" applyFont="1" applyFill="1" applyBorder="1" applyAlignment="1">
      <alignment horizontal="left" vertical="center" wrapText="1"/>
    </xf>
    <xf numFmtId="0" fontId="13" fillId="0" borderId="0" xfId="0" applyFont="1" applyFill="1" applyBorder="1" applyAlignment="1">
      <alignment horizontal="center" vertical="center" wrapText="1"/>
    </xf>
    <xf numFmtId="0" fontId="16" fillId="12" borderId="4" xfId="27" applyFont="1" applyFill="1" applyBorder="1" applyAlignment="1">
      <alignment horizontal="left" vertical="center" indent="1"/>
    </xf>
    <xf numFmtId="0" fontId="16" fillId="12" borderId="3" xfId="27" applyFont="1" applyFill="1" applyBorder="1" applyAlignment="1">
      <alignment horizontal="left" vertical="center" indent="1"/>
    </xf>
    <xf numFmtId="0" fontId="15" fillId="12" borderId="3" xfId="27" applyFont="1" applyFill="1" applyBorder="1" applyAlignment="1">
      <alignment horizontal="left" vertical="center" wrapText="1"/>
    </xf>
    <xf numFmtId="0" fontId="16" fillId="12" borderId="14" xfId="27" applyFont="1" applyFill="1" applyBorder="1" applyAlignment="1">
      <alignment horizontal="left" vertical="center" indent="1"/>
    </xf>
    <xf numFmtId="0" fontId="16" fillId="12" borderId="15" xfId="27" applyFont="1" applyFill="1" applyBorder="1" applyAlignment="1">
      <alignment horizontal="left" vertical="center" indent="1"/>
    </xf>
    <xf numFmtId="0" fontId="16" fillId="12" borderId="12" xfId="27" applyFont="1" applyFill="1" applyBorder="1" applyAlignment="1">
      <alignment horizontal="left" vertical="center" indent="1"/>
    </xf>
    <xf numFmtId="0" fontId="15" fillId="12" borderId="16" xfId="27" applyFont="1" applyFill="1" applyBorder="1" applyAlignment="1">
      <alignment horizontal="left" vertical="center" wrapText="1"/>
    </xf>
    <xf numFmtId="0" fontId="15" fillId="12" borderId="7" xfId="27" applyFont="1" applyFill="1" applyBorder="1" applyAlignment="1">
      <alignment horizontal="left" vertical="center" wrapText="1"/>
    </xf>
    <xf numFmtId="0" fontId="17" fillId="12" borderId="0" xfId="27" applyFont="1" applyFill="1" applyBorder="1" applyAlignment="1">
      <alignment horizontal="left" vertical="center" indent="1"/>
    </xf>
    <xf numFmtId="9" fontId="17" fillId="12" borderId="0" xfId="28" applyFont="1" applyFill="1" applyBorder="1" applyAlignment="1">
      <alignment horizontal="center" vertical="center" wrapText="1"/>
    </xf>
    <xf numFmtId="0" fontId="20" fillId="13" borderId="0" xfId="0" applyFont="1" applyFill="1" applyBorder="1" applyAlignment="1">
      <alignment horizontal="left" vertical="center" wrapText="1"/>
    </xf>
    <xf numFmtId="0" fontId="13" fillId="0" borderId="0" xfId="0" applyFont="1" applyAlignment="1">
      <alignment vertical="center"/>
    </xf>
    <xf numFmtId="0" fontId="16" fillId="12" borderId="45" xfId="27" applyFont="1" applyFill="1" applyBorder="1" applyAlignment="1">
      <alignment horizontal="left" vertical="center" wrapText="1" indent="1"/>
    </xf>
    <xf numFmtId="4" fontId="0" fillId="0" borderId="45" xfId="0" applyNumberFormat="1" applyFont="1" applyBorder="1" applyAlignment="1">
      <alignment vertical="center" wrapText="1"/>
    </xf>
    <xf numFmtId="4" fontId="3" fillId="3" borderId="45" xfId="0" applyNumberFormat="1" applyFont="1" applyFill="1" applyBorder="1" applyAlignment="1">
      <alignment vertical="center" wrapText="1"/>
    </xf>
    <xf numFmtId="169" fontId="0" fillId="0" borderId="45" xfId="0" applyNumberFormat="1" applyBorder="1"/>
    <xf numFmtId="169" fontId="0" fillId="0" borderId="45" xfId="0" applyNumberFormat="1" applyBorder="1" applyAlignment="1">
      <alignment vertical="center"/>
    </xf>
    <xf numFmtId="169" fontId="0" fillId="0" borderId="45" xfId="0" applyNumberFormat="1" applyFill="1" applyBorder="1" applyAlignment="1">
      <alignment vertical="center"/>
    </xf>
    <xf numFmtId="169" fontId="0" fillId="0" borderId="45" xfId="0" applyNumberFormat="1" applyFill="1" applyBorder="1" applyAlignment="1">
      <alignment vertical="center" wrapText="1"/>
    </xf>
    <xf numFmtId="0" fontId="0" fillId="0" borderId="45" xfId="0" applyNumberFormat="1" applyBorder="1" applyAlignment="1">
      <alignment vertical="center" wrapText="1"/>
    </xf>
    <xf numFmtId="0" fontId="0" fillId="0" borderId="45" xfId="0" applyBorder="1" applyAlignment="1">
      <alignment vertical="center"/>
    </xf>
    <xf numFmtId="2" fontId="0" fillId="0" borderId="45" xfId="0" applyNumberFormat="1" applyBorder="1" applyAlignment="1">
      <alignment vertical="center"/>
    </xf>
    <xf numFmtId="2" fontId="0" fillId="0" borderId="45" xfId="0" applyNumberFormat="1" applyBorder="1"/>
    <xf numFmtId="0" fontId="0" fillId="0" borderId="45" xfId="0" applyBorder="1"/>
    <xf numFmtId="0" fontId="16" fillId="12" borderId="45" xfId="27" applyFont="1" applyFill="1" applyBorder="1" applyAlignment="1">
      <alignment horizontal="left" vertical="center" indent="1"/>
    </xf>
    <xf numFmtId="166" fontId="0" fillId="0" borderId="45" xfId="0" applyNumberFormat="1" applyBorder="1"/>
    <xf numFmtId="169" fontId="0" fillId="7" borderId="45" xfId="0" applyNumberFormat="1" applyFill="1" applyBorder="1"/>
    <xf numFmtId="0" fontId="31" fillId="6" borderId="45" xfId="27" applyFont="1" applyFill="1" applyBorder="1" applyAlignment="1">
      <alignment horizontal="center" vertical="center" wrapText="1"/>
    </xf>
    <xf numFmtId="0" fontId="16" fillId="12" borderId="92" xfId="27" applyFont="1" applyFill="1" applyBorder="1" applyAlignment="1">
      <alignment horizontal="left" vertical="center" indent="1"/>
    </xf>
    <xf numFmtId="0" fontId="16" fillId="12" borderId="93" xfId="27" applyFont="1" applyFill="1" applyBorder="1" applyAlignment="1">
      <alignment horizontal="left" vertical="center" indent="1"/>
    </xf>
    <xf numFmtId="0" fontId="16" fillId="12" borderId="57" xfId="27" applyFont="1" applyFill="1" applyBorder="1" applyAlignment="1">
      <alignment horizontal="left" vertical="center" indent="1"/>
    </xf>
    <xf numFmtId="0" fontId="17" fillId="12" borderId="57" xfId="27" applyFont="1" applyFill="1" applyBorder="1" applyAlignment="1">
      <alignment horizontal="left" vertical="center" indent="1"/>
    </xf>
    <xf numFmtId="0" fontId="16" fillId="12" borderId="45" xfId="27" applyFont="1" applyFill="1" applyBorder="1" applyAlignment="1">
      <alignment vertical="center" wrapText="1"/>
    </xf>
    <xf numFmtId="168" fontId="0" fillId="0" borderId="45" xfId="0" applyNumberFormat="1" applyBorder="1" applyAlignment="1">
      <alignment vertical="center"/>
    </xf>
    <xf numFmtId="0" fontId="13" fillId="3" borderId="45" xfId="0" applyFont="1" applyFill="1" applyBorder="1" applyAlignment="1">
      <alignment horizontal="center" vertical="center"/>
    </xf>
    <xf numFmtId="0" fontId="13" fillId="3" borderId="45" xfId="0" applyFont="1" applyFill="1" applyBorder="1" applyAlignment="1">
      <alignment horizontal="center"/>
    </xf>
    <xf numFmtId="4" fontId="0" fillId="3" borderId="59" xfId="0" applyNumberFormat="1" applyFill="1" applyBorder="1" applyAlignment="1">
      <alignment vertical="center"/>
    </xf>
    <xf numFmtId="0" fontId="8" fillId="6" borderId="94" xfId="27" applyFont="1" applyFill="1" applyBorder="1" applyAlignment="1">
      <alignment horizontal="center" vertical="center" wrapText="1"/>
    </xf>
    <xf numFmtId="4" fontId="0" fillId="3" borderId="95" xfId="0" applyNumberFormat="1" applyFill="1" applyBorder="1" applyAlignment="1">
      <alignment vertical="center" wrapText="1"/>
    </xf>
    <xf numFmtId="4" fontId="0" fillId="3" borderId="58" xfId="0" applyNumberFormat="1" applyFill="1" applyBorder="1" applyAlignment="1">
      <alignment vertical="center"/>
    </xf>
    <xf numFmtId="4" fontId="0" fillId="3" borderId="57" xfId="0" applyNumberFormat="1" applyFill="1" applyBorder="1" applyAlignment="1">
      <alignment vertical="center"/>
    </xf>
    <xf numFmtId="4" fontId="0" fillId="3" borderId="96" xfId="0" applyNumberFormat="1" applyFill="1" applyBorder="1" applyAlignment="1"/>
    <xf numFmtId="4" fontId="0" fillId="3" borderId="92" xfId="0" applyNumberFormat="1" applyFill="1" applyBorder="1" applyAlignment="1"/>
    <xf numFmtId="4" fontId="0" fillId="3" borderId="20" xfId="0" applyNumberFormat="1" applyFill="1" applyBorder="1" applyAlignment="1"/>
    <xf numFmtId="0" fontId="0" fillId="0" borderId="79" xfId="0" applyBorder="1"/>
    <xf numFmtId="0" fontId="0" fillId="0" borderId="80" xfId="0" applyBorder="1"/>
    <xf numFmtId="4" fontId="0" fillId="3" borderId="21" xfId="0" applyNumberFormat="1" applyFill="1" applyBorder="1" applyAlignment="1">
      <alignment vertical="center"/>
    </xf>
    <xf numFmtId="0" fontId="0" fillId="0" borderId="26" xfId="0" applyBorder="1"/>
    <xf numFmtId="0" fontId="0" fillId="0" borderId="93" xfId="0" applyBorder="1"/>
    <xf numFmtId="4" fontId="0" fillId="3" borderId="43" xfId="0" applyNumberFormat="1" applyFill="1" applyBorder="1" applyAlignment="1">
      <alignment wrapText="1"/>
    </xf>
    <xf numFmtId="4" fontId="0" fillId="3" borderId="23" xfId="0" applyNumberFormat="1" applyFill="1" applyBorder="1" applyAlignment="1">
      <alignment vertical="center" wrapText="1"/>
    </xf>
    <xf numFmtId="4" fontId="0" fillId="3" borderId="63" xfId="0" applyNumberFormat="1" applyFill="1" applyBorder="1" applyAlignment="1">
      <alignment horizontal="center" vertical="center"/>
    </xf>
    <xf numFmtId="4" fontId="0" fillId="3" borderId="84" xfId="0" applyNumberFormat="1" applyFill="1" applyBorder="1" applyAlignment="1">
      <alignment horizontal="center" vertical="center"/>
    </xf>
    <xf numFmtId="0" fontId="0" fillId="0" borderId="97" xfId="0" applyBorder="1"/>
    <xf numFmtId="0" fontId="0" fillId="0" borderId="98" xfId="0" applyBorder="1"/>
    <xf numFmtId="4" fontId="0" fillId="3" borderId="99" xfId="0" applyNumberFormat="1" applyFill="1" applyBorder="1" applyAlignment="1">
      <alignment horizontal="center" vertical="center"/>
    </xf>
    <xf numFmtId="0" fontId="0" fillId="0" borderId="21" xfId="0" applyBorder="1"/>
    <xf numFmtId="0" fontId="0" fillId="0" borderId="22" xfId="0" applyBorder="1"/>
    <xf numFmtId="0" fontId="0" fillId="0" borderId="20" xfId="0" applyBorder="1"/>
    <xf numFmtId="4" fontId="0" fillId="3" borderId="101" xfId="0" applyNumberFormat="1" applyFill="1" applyBorder="1" applyAlignment="1"/>
    <xf numFmtId="4" fontId="0" fillId="3" borderId="102" xfId="0" applyNumberFormat="1" applyFill="1" applyBorder="1" applyAlignment="1">
      <alignment vertical="center"/>
    </xf>
    <xf numFmtId="0" fontId="0" fillId="0" borderId="103" xfId="0" applyBorder="1"/>
    <xf numFmtId="0" fontId="0" fillId="0" borderId="100" xfId="0" applyBorder="1"/>
    <xf numFmtId="0" fontId="0" fillId="0" borderId="104" xfId="0" applyBorder="1"/>
    <xf numFmtId="4" fontId="0" fillId="3" borderId="83" xfId="0" applyNumberFormat="1" applyFill="1" applyBorder="1" applyAlignment="1">
      <alignment vertical="center" wrapText="1"/>
    </xf>
    <xf numFmtId="4" fontId="32" fillId="0" borderId="45" xfId="0" applyNumberFormat="1" applyFont="1" applyBorder="1" applyAlignment="1">
      <alignment vertical="center" wrapText="1"/>
    </xf>
    <xf numFmtId="4" fontId="13" fillId="3" borderId="45" xfId="0" applyNumberFormat="1" applyFont="1" applyFill="1" applyBorder="1" applyAlignment="1">
      <alignment vertical="center" wrapText="1"/>
    </xf>
    <xf numFmtId="0" fontId="0" fillId="2" borderId="0" xfId="0" applyFill="1" applyBorder="1" applyAlignment="1">
      <alignment horizontal="left" indent="3"/>
    </xf>
    <xf numFmtId="0" fontId="15" fillId="12" borderId="16" xfId="27" applyFont="1" applyFill="1" applyBorder="1" applyAlignment="1">
      <alignment horizontal="left" vertical="center" wrapText="1" indent="1"/>
    </xf>
    <xf numFmtId="0" fontId="22" fillId="0" borderId="0" xfId="0" applyFont="1"/>
    <xf numFmtId="10" fontId="0" fillId="0" borderId="0" xfId="0" applyNumberFormat="1"/>
    <xf numFmtId="0" fontId="24" fillId="8" borderId="31" xfId="0" applyFont="1" applyFill="1" applyBorder="1" applyAlignment="1">
      <alignment horizontal="center" vertical="center" wrapText="1" readingOrder="1"/>
    </xf>
    <xf numFmtId="10" fontId="24" fillId="8" borderId="31" xfId="0" applyNumberFormat="1" applyFont="1" applyFill="1" applyBorder="1" applyAlignment="1">
      <alignment horizontal="center" vertical="center" wrapText="1" readingOrder="1"/>
    </xf>
    <xf numFmtId="0" fontId="24" fillId="9" borderId="31" xfId="0" applyFont="1" applyFill="1" applyBorder="1" applyAlignment="1">
      <alignment horizontal="left" vertical="center" wrapText="1" indent="1" readingOrder="1"/>
    </xf>
    <xf numFmtId="0" fontId="0" fillId="3" borderId="111" xfId="0" applyFill="1" applyBorder="1" applyAlignment="1">
      <alignment horizontal="center" vertical="center"/>
    </xf>
    <xf numFmtId="0" fontId="0" fillId="14" borderId="112" xfId="0" applyFill="1" applyBorder="1" applyAlignment="1">
      <alignment horizontal="center" vertical="center"/>
    </xf>
    <xf numFmtId="10" fontId="0" fillId="0" borderId="113" xfId="0" applyNumberFormat="1" applyFill="1" applyBorder="1" applyAlignment="1">
      <alignment horizontal="center" vertical="center"/>
    </xf>
    <xf numFmtId="0" fontId="0" fillId="3" borderId="114" xfId="0" applyFill="1" applyBorder="1" applyAlignment="1">
      <alignment horizontal="center" vertical="center"/>
    </xf>
    <xf numFmtId="0" fontId="0" fillId="3" borderId="115" xfId="0" applyFill="1" applyBorder="1" applyAlignment="1">
      <alignment horizontal="center" vertical="center"/>
    </xf>
    <xf numFmtId="0" fontId="0" fillId="14" borderId="116" xfId="0" applyFill="1" applyBorder="1" applyAlignment="1">
      <alignment horizontal="center" vertical="center"/>
    </xf>
    <xf numFmtId="10" fontId="0" fillId="0" borderId="117" xfId="0" applyNumberFormat="1" applyFill="1" applyBorder="1" applyAlignment="1">
      <alignment horizontal="center" vertical="center"/>
    </xf>
    <xf numFmtId="0" fontId="0" fillId="3" borderId="118" xfId="0" applyFill="1" applyBorder="1" applyAlignment="1">
      <alignment horizontal="center" vertical="center"/>
    </xf>
    <xf numFmtId="0" fontId="0" fillId="14" borderId="119" xfId="0" applyFill="1" applyBorder="1" applyAlignment="1">
      <alignment horizontal="center" vertical="center"/>
    </xf>
    <xf numFmtId="10" fontId="0" fillId="0" borderId="120" xfId="0" applyNumberFormat="1" applyFill="1" applyBorder="1" applyAlignment="1">
      <alignment horizontal="center" vertical="center"/>
    </xf>
    <xf numFmtId="0" fontId="0" fillId="3" borderId="121" xfId="0" applyFill="1" applyBorder="1" applyAlignment="1">
      <alignment horizontal="center" vertical="center"/>
    </xf>
    <xf numFmtId="0" fontId="0" fillId="14" borderId="122" xfId="0" applyFill="1" applyBorder="1" applyAlignment="1">
      <alignment horizontal="center" vertical="center"/>
    </xf>
    <xf numFmtId="10" fontId="0" fillId="0" borderId="123" xfId="0" applyNumberFormat="1" applyFill="1" applyBorder="1" applyAlignment="1">
      <alignment horizontal="center" vertical="center"/>
    </xf>
    <xf numFmtId="0" fontId="24" fillId="9" borderId="31" xfId="0" applyFont="1" applyFill="1" applyBorder="1" applyAlignment="1">
      <alignment horizontal="left" vertical="center" wrapText="1" indent="3" readingOrder="1"/>
    </xf>
    <xf numFmtId="0" fontId="0" fillId="3" borderId="132" xfId="0" applyFill="1" applyBorder="1" applyAlignment="1">
      <alignment horizontal="center" vertical="center"/>
    </xf>
    <xf numFmtId="0" fontId="0" fillId="0" borderId="0" xfId="0" applyBorder="1"/>
    <xf numFmtId="10" fontId="0" fillId="0" borderId="0" xfId="0" applyNumberFormat="1" applyBorder="1"/>
    <xf numFmtId="0" fontId="0" fillId="0" borderId="138" xfId="0" applyBorder="1"/>
    <xf numFmtId="10" fontId="0" fillId="0" borderId="138" xfId="0" applyNumberFormat="1" applyBorder="1"/>
    <xf numFmtId="0" fontId="13" fillId="0" borderId="0" xfId="0" applyFont="1" applyFill="1" applyBorder="1" applyAlignment="1">
      <alignment horizontal="left" wrapText="1"/>
    </xf>
    <xf numFmtId="0" fontId="34" fillId="0" borderId="0" xfId="0" applyFont="1"/>
    <xf numFmtId="0" fontId="13" fillId="0" borderId="0" xfId="0" applyFont="1"/>
    <xf numFmtId="0" fontId="30" fillId="6" borderId="45" xfId="27" applyFont="1" applyFill="1" applyBorder="1" applyAlignment="1">
      <alignment horizontal="center" vertical="center" wrapText="1"/>
    </xf>
    <xf numFmtId="0" fontId="24" fillId="9" borderId="48" xfId="0" applyFont="1" applyFill="1" applyBorder="1" applyAlignment="1">
      <alignment vertical="center" wrapText="1" readingOrder="1"/>
    </xf>
    <xf numFmtId="0" fontId="24" fillId="9" borderId="60" xfId="0" applyFont="1" applyFill="1" applyBorder="1" applyAlignment="1">
      <alignment vertical="center" wrapText="1" readingOrder="1"/>
    </xf>
    <xf numFmtId="0" fontId="25" fillId="0" borderId="141" xfId="0" applyFont="1" applyBorder="1" applyAlignment="1">
      <alignment horizontal="left" vertical="center" wrapText="1" readingOrder="1"/>
    </xf>
    <xf numFmtId="0" fontId="0" fillId="2" borderId="142" xfId="0" applyFill="1" applyBorder="1"/>
    <xf numFmtId="0" fontId="0" fillId="2" borderId="143" xfId="0" applyFill="1" applyBorder="1"/>
    <xf numFmtId="0" fontId="25" fillId="10" borderId="144" xfId="0" applyFont="1" applyFill="1" applyBorder="1" applyAlignment="1">
      <alignment horizontal="center" vertical="center" wrapText="1" readingOrder="1"/>
    </xf>
    <xf numFmtId="4" fontId="25" fillId="11" borderId="144" xfId="0" applyNumberFormat="1" applyFont="1" applyFill="1" applyBorder="1" applyAlignment="1">
      <alignment horizontal="center" vertical="center" wrapText="1" readingOrder="1"/>
    </xf>
    <xf numFmtId="0" fontId="0" fillId="2" borderId="0" xfId="0" applyFont="1" applyFill="1"/>
    <xf numFmtId="4" fontId="16" fillId="12" borderId="45" xfId="27" applyNumberFormat="1" applyFont="1" applyFill="1" applyBorder="1" applyAlignment="1">
      <alignment horizontal="left" vertical="center" wrapText="1" indent="1"/>
    </xf>
    <xf numFmtId="4" fontId="0" fillId="7" borderId="45" xfId="0" applyNumberFormat="1" applyFont="1" applyFill="1" applyBorder="1" applyAlignment="1">
      <alignment vertical="center" wrapText="1"/>
    </xf>
    <xf numFmtId="4" fontId="0" fillId="3" borderId="145" xfId="0" applyNumberFormat="1" applyFill="1" applyBorder="1" applyAlignment="1">
      <alignment vertical="center"/>
    </xf>
    <xf numFmtId="4" fontId="0" fillId="3" borderId="146" xfId="0" applyNumberFormat="1" applyFill="1" applyBorder="1" applyAlignment="1">
      <alignment vertical="center" wrapText="1"/>
    </xf>
    <xf numFmtId="4" fontId="0" fillId="3" borderId="147" xfId="0" applyNumberFormat="1" applyFill="1" applyBorder="1" applyAlignment="1">
      <alignment vertical="center" wrapText="1"/>
    </xf>
    <xf numFmtId="4" fontId="0" fillId="3" borderId="147" xfId="0" applyNumberFormat="1" applyFill="1" applyBorder="1" applyAlignment="1"/>
    <xf numFmtId="4" fontId="0" fillId="3" borderId="147" xfId="0" applyNumberFormat="1" applyFill="1" applyBorder="1" applyAlignment="1">
      <alignment vertical="center"/>
    </xf>
    <xf numFmtId="4" fontId="0" fillId="3" borderId="148" xfId="0" applyNumberFormat="1" applyFill="1" applyBorder="1" applyAlignment="1">
      <alignment vertical="center"/>
    </xf>
    <xf numFmtId="0" fontId="18" fillId="0" borderId="74" xfId="0" applyFont="1" applyBorder="1" applyAlignment="1">
      <alignment horizontal="right" vertical="center" wrapText="1"/>
    </xf>
    <xf numFmtId="0" fontId="18" fillId="0" borderId="67" xfId="0" applyFont="1" applyBorder="1" applyAlignment="1">
      <alignment horizontal="right" vertical="center" wrapText="1"/>
    </xf>
    <xf numFmtId="4" fontId="0" fillId="3" borderId="149" xfId="0" applyNumberFormat="1" applyFill="1" applyBorder="1" applyAlignment="1">
      <alignment vertical="center"/>
    </xf>
    <xf numFmtId="0" fontId="0" fillId="2" borderId="63" xfId="0" applyFill="1" applyBorder="1"/>
    <xf numFmtId="4" fontId="13" fillId="4" borderId="151" xfId="0" applyNumberFormat="1" applyFont="1" applyFill="1" applyBorder="1"/>
    <xf numFmtId="4" fontId="13" fillId="4" borderId="63" xfId="0" applyNumberFormat="1" applyFont="1" applyFill="1" applyBorder="1"/>
    <xf numFmtId="0" fontId="13" fillId="0" borderId="0" xfId="0" applyFont="1" applyFill="1" applyBorder="1" applyAlignment="1">
      <alignment vertical="center" wrapText="1"/>
    </xf>
    <xf numFmtId="9" fontId="15" fillId="12" borderId="0" xfId="28" applyFont="1" applyFill="1" applyBorder="1" applyAlignment="1">
      <alignment horizontal="center" vertical="center" wrapText="1"/>
    </xf>
    <xf numFmtId="0" fontId="30" fillId="6" borderId="45" xfId="27" applyFont="1" applyFill="1" applyBorder="1" applyAlignment="1">
      <alignment horizontal="center" vertical="center" wrapText="1"/>
    </xf>
    <xf numFmtId="171" fontId="0" fillId="2" borderId="0" xfId="0" applyNumberFormat="1" applyFill="1"/>
    <xf numFmtId="0" fontId="16" fillId="15" borderId="93" xfId="27" applyFont="1" applyFill="1" applyBorder="1" applyAlignment="1">
      <alignment horizontal="left" vertical="center" indent="1"/>
    </xf>
    <xf numFmtId="169" fontId="0" fillId="16" borderId="45" xfId="0" applyNumberFormat="1" applyFill="1" applyBorder="1" applyAlignment="1">
      <alignment vertical="center"/>
    </xf>
    <xf numFmtId="9" fontId="10" fillId="0" borderId="45" xfId="28" applyNumberFormat="1" applyFont="1" applyFill="1" applyBorder="1" applyAlignment="1">
      <alignment vertical="center"/>
    </xf>
    <xf numFmtId="9" fontId="10" fillId="0" borderId="0" xfId="28" applyNumberFormat="1" applyFont="1" applyFill="1" applyBorder="1" applyAlignment="1">
      <alignment vertical="center"/>
    </xf>
    <xf numFmtId="173" fontId="0" fillId="0" borderId="0" xfId="0" applyNumberFormat="1" applyAlignment="1">
      <alignment vertical="center"/>
    </xf>
    <xf numFmtId="0" fontId="40" fillId="12" borderId="12" xfId="27" applyFont="1" applyFill="1" applyBorder="1" applyAlignment="1">
      <alignment horizontal="right" vertical="center" indent="1"/>
    </xf>
    <xf numFmtId="171" fontId="8" fillId="6" borderId="3" xfId="36" applyNumberFormat="1" applyFont="1" applyFill="1" applyBorder="1" applyAlignment="1">
      <alignment horizontal="right" wrapText="1"/>
    </xf>
    <xf numFmtId="2" fontId="4" fillId="0" borderId="81" xfId="0" applyNumberFormat="1" applyFont="1" applyBorder="1" applyAlignment="1">
      <alignment horizontal="center" vertical="center"/>
    </xf>
    <xf numFmtId="0" fontId="0" fillId="3" borderId="19" xfId="0" applyFill="1" applyBorder="1" applyAlignment="1">
      <alignment horizontal="center" vertical="center"/>
    </xf>
    <xf numFmtId="0" fontId="0" fillId="3" borderId="50" xfId="0" applyFill="1" applyBorder="1" applyAlignment="1">
      <alignment horizontal="center" vertical="center"/>
    </xf>
    <xf numFmtId="0" fontId="0" fillId="3" borderId="40" xfId="0" applyFill="1" applyBorder="1" applyAlignment="1">
      <alignment horizontal="center" vertical="center"/>
    </xf>
    <xf numFmtId="0" fontId="0" fillId="3" borderId="51" xfId="0" applyFill="1" applyBorder="1" applyAlignment="1">
      <alignment horizontal="center" vertical="center"/>
    </xf>
    <xf numFmtId="0" fontId="0" fillId="3" borderId="40" xfId="0" applyFill="1" applyBorder="1" applyAlignment="1">
      <alignment horizontal="center" vertical="center" wrapText="1"/>
    </xf>
    <xf numFmtId="0" fontId="0" fillId="3" borderId="51" xfId="0" applyFill="1" applyBorder="1" applyAlignment="1">
      <alignment horizontal="center" vertical="center" wrapText="1"/>
    </xf>
    <xf numFmtId="0" fontId="0" fillId="3" borderId="41" xfId="0" applyFill="1" applyBorder="1" applyAlignment="1">
      <alignment horizontal="center" vertical="center"/>
    </xf>
    <xf numFmtId="0" fontId="0" fillId="3" borderId="52" xfId="0" applyFill="1" applyBorder="1" applyAlignment="1">
      <alignment horizontal="center" vertical="center"/>
    </xf>
    <xf numFmtId="0" fontId="4" fillId="3" borderId="76" xfId="0" applyFont="1" applyFill="1" applyBorder="1" applyAlignment="1">
      <alignment horizontal="center" vertical="center"/>
    </xf>
    <xf numFmtId="0" fontId="4" fillId="3" borderId="25" xfId="0" applyFont="1" applyFill="1" applyBorder="1" applyAlignment="1">
      <alignment horizontal="center" vertical="center"/>
    </xf>
    <xf numFmtId="0" fontId="4" fillId="3" borderId="77" xfId="0" applyFont="1" applyFill="1" applyBorder="1" applyAlignment="1">
      <alignment horizontal="center" vertical="center" wrapText="1"/>
    </xf>
    <xf numFmtId="0" fontId="4" fillId="3" borderId="67" xfId="0" applyFont="1" applyFill="1" applyBorder="1" applyAlignment="1">
      <alignment horizontal="center" vertical="center" wrapText="1"/>
    </xf>
    <xf numFmtId="0" fontId="0" fillId="3" borderId="75" xfId="0" applyFill="1" applyBorder="1" applyAlignment="1">
      <alignment horizontal="center" vertical="center" wrapText="1"/>
    </xf>
    <xf numFmtId="0" fontId="0" fillId="3" borderId="64" xfId="0" applyFill="1" applyBorder="1" applyAlignment="1">
      <alignment horizontal="center" vertical="center" wrapText="1"/>
    </xf>
    <xf numFmtId="0" fontId="23" fillId="8" borderId="33" xfId="0" applyFont="1" applyFill="1" applyBorder="1" applyAlignment="1">
      <alignment horizontal="center" wrapText="1" readingOrder="1"/>
    </xf>
    <xf numFmtId="0" fontId="23" fillId="8" borderId="34" xfId="0" applyFont="1" applyFill="1" applyBorder="1" applyAlignment="1">
      <alignment horizontal="center" wrapText="1" readingOrder="1"/>
    </xf>
    <xf numFmtId="0" fontId="0" fillId="3" borderId="39" xfId="0"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42" xfId="0" applyFont="1" applyFill="1" applyBorder="1" applyAlignment="1">
      <alignment horizontal="center" vertical="center" wrapText="1"/>
    </xf>
    <xf numFmtId="0" fontId="4" fillId="3" borderId="153" xfId="0" applyFont="1" applyFill="1" applyBorder="1" applyAlignment="1">
      <alignment horizontal="center" vertical="center" wrapText="1"/>
    </xf>
    <xf numFmtId="0" fontId="0" fillId="3" borderId="44"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56" xfId="0" applyFill="1" applyBorder="1" applyAlignment="1">
      <alignment horizontal="center" vertical="center" wrapText="1"/>
    </xf>
    <xf numFmtId="0" fontId="0" fillId="4" borderId="28" xfId="0" applyFill="1" applyBorder="1" applyAlignment="1">
      <alignment horizontal="center"/>
    </xf>
    <xf numFmtId="0" fontId="0" fillId="4" borderId="29" xfId="0" applyFill="1" applyBorder="1" applyAlignment="1">
      <alignment horizontal="center"/>
    </xf>
    <xf numFmtId="0" fontId="0" fillId="4" borderId="30" xfId="0" applyFill="1" applyBorder="1" applyAlignment="1">
      <alignment horizontal="center"/>
    </xf>
    <xf numFmtId="0" fontId="0" fillId="4" borderId="10" xfId="0" applyFill="1" applyBorder="1" applyAlignment="1">
      <alignment horizontal="center"/>
    </xf>
    <xf numFmtId="0" fontId="0" fillId="4" borderId="99" xfId="0" applyFill="1" applyBorder="1" applyAlignment="1">
      <alignment horizontal="center"/>
    </xf>
    <xf numFmtId="0" fontId="13" fillId="4" borderId="20" xfId="0" applyFont="1" applyFill="1" applyBorder="1" applyAlignment="1">
      <alignment horizontal="center" vertical="center"/>
    </xf>
    <xf numFmtId="0" fontId="13" fillId="4" borderId="21" xfId="0" applyFont="1" applyFill="1" applyBorder="1" applyAlignment="1">
      <alignment horizontal="center" vertical="center"/>
    </xf>
    <xf numFmtId="0" fontId="13" fillId="4" borderId="18" xfId="0" applyFont="1" applyFill="1" applyBorder="1" applyAlignment="1">
      <alignment horizontal="center" vertical="center"/>
    </xf>
    <xf numFmtId="0" fontId="13" fillId="4" borderId="19" xfId="0" applyFont="1" applyFill="1" applyBorder="1" applyAlignment="1">
      <alignment horizontal="center" vertical="center"/>
    </xf>
    <xf numFmtId="0" fontId="13" fillId="4" borderId="24" xfId="0" applyFont="1" applyFill="1" applyBorder="1" applyAlignment="1">
      <alignment horizontal="center" vertical="center"/>
    </xf>
    <xf numFmtId="0" fontId="4" fillId="4" borderId="25"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26" xfId="0" applyFont="1" applyFill="1" applyBorder="1" applyAlignment="1">
      <alignment horizontal="center" vertical="center"/>
    </xf>
    <xf numFmtId="0" fontId="4" fillId="4" borderId="27" xfId="0" applyFont="1" applyFill="1" applyBorder="1" applyAlignment="1">
      <alignment horizontal="center" vertical="center"/>
    </xf>
    <xf numFmtId="0" fontId="4" fillId="4" borderId="35" xfId="0" applyFont="1" applyFill="1" applyBorder="1" applyAlignment="1">
      <alignment horizontal="center" vertical="center"/>
    </xf>
    <xf numFmtId="0" fontId="13" fillId="4" borderId="152" xfId="0" applyFont="1" applyFill="1" applyBorder="1" applyAlignment="1">
      <alignment horizontal="center" vertical="center" wrapText="1"/>
    </xf>
    <xf numFmtId="0" fontId="13" fillId="4" borderId="53" xfId="0" applyFont="1" applyFill="1" applyBorder="1" applyAlignment="1">
      <alignment horizontal="center" vertical="center" wrapText="1"/>
    </xf>
    <xf numFmtId="0" fontId="13" fillId="4" borderId="150" xfId="0" applyFont="1" applyFill="1" applyBorder="1" applyAlignment="1">
      <alignment horizontal="center" vertical="center" wrapText="1"/>
    </xf>
    <xf numFmtId="0" fontId="13" fillId="4" borderId="84" xfId="0" applyFont="1" applyFill="1" applyBorder="1" applyAlignment="1">
      <alignment horizontal="center" vertical="center" wrapText="1"/>
    </xf>
    <xf numFmtId="0" fontId="30" fillId="6" borderId="45" xfId="27" applyFont="1" applyFill="1" applyBorder="1" applyAlignment="1">
      <alignment horizontal="center" vertical="center" wrapText="1"/>
    </xf>
    <xf numFmtId="171" fontId="8" fillId="5" borderId="92" xfId="27" applyNumberFormat="1" applyFont="1" applyFill="1" applyBorder="1" applyAlignment="1">
      <alignment horizontal="center" vertical="center" wrapText="1"/>
    </xf>
    <xf numFmtId="171" fontId="8" fillId="5" borderId="45" xfId="27" applyNumberFormat="1" applyFont="1" applyFill="1" applyBorder="1" applyAlignment="1">
      <alignment horizontal="center" vertical="center" wrapText="1"/>
    </xf>
    <xf numFmtId="0" fontId="1" fillId="7" borderId="0" xfId="0" applyFont="1" applyFill="1" applyBorder="1" applyAlignment="1">
      <alignment horizontal="left" vertical="top" wrapText="1"/>
    </xf>
    <xf numFmtId="0" fontId="13" fillId="4" borderId="0" xfId="0" applyFont="1" applyFill="1" applyBorder="1" applyAlignment="1">
      <alignment horizontal="center" vertical="center" wrapText="1"/>
    </xf>
    <xf numFmtId="0" fontId="39" fillId="0" borderId="0" xfId="0" applyFont="1" applyAlignment="1">
      <alignment horizontal="left" vertical="center" wrapText="1"/>
    </xf>
    <xf numFmtId="0" fontId="2" fillId="0" borderId="0" xfId="0" applyFont="1" applyAlignment="1">
      <alignment horizontal="left" vertical="top" wrapText="1"/>
    </xf>
    <xf numFmtId="0" fontId="0" fillId="0" borderId="137" xfId="0" applyBorder="1" applyAlignment="1">
      <alignment horizontal="center" vertical="center"/>
    </xf>
    <xf numFmtId="0" fontId="0" fillId="0" borderId="138" xfId="0" applyBorder="1" applyAlignment="1">
      <alignment horizontal="center" vertical="center"/>
    </xf>
    <xf numFmtId="0" fontId="0" fillId="0" borderId="139" xfId="0" applyBorder="1" applyAlignment="1">
      <alignment horizontal="center" vertical="center"/>
    </xf>
    <xf numFmtId="0" fontId="0" fillId="0" borderId="136" xfId="0" applyBorder="1" applyAlignment="1">
      <alignment horizontal="center" vertical="center"/>
    </xf>
    <xf numFmtId="0" fontId="0" fillId="0" borderId="134" xfId="0" applyBorder="1" applyAlignment="1">
      <alignment horizontal="center" vertical="center"/>
    </xf>
    <xf numFmtId="0" fontId="0" fillId="0" borderId="135" xfId="0" applyBorder="1" applyAlignment="1">
      <alignment horizontal="center" vertical="center"/>
    </xf>
    <xf numFmtId="0" fontId="0" fillId="0" borderId="140" xfId="0" applyBorder="1" applyAlignment="1">
      <alignment horizontal="center" vertical="center"/>
    </xf>
    <xf numFmtId="0" fontId="0" fillId="0" borderId="124" xfId="0" applyBorder="1" applyAlignment="1">
      <alignment horizontal="center" vertical="center"/>
    </xf>
    <xf numFmtId="0" fontId="0" fillId="0" borderId="125" xfId="0" applyBorder="1" applyAlignment="1">
      <alignment horizontal="center" vertical="center"/>
    </xf>
    <xf numFmtId="0" fontId="0" fillId="0" borderId="126" xfId="0" applyBorder="1" applyAlignment="1">
      <alignment horizontal="center" vertical="center"/>
    </xf>
    <xf numFmtId="0" fontId="0" fillId="0" borderId="127" xfId="0" applyBorder="1" applyAlignment="1">
      <alignment horizontal="center" vertical="center"/>
    </xf>
    <xf numFmtId="0" fontId="0" fillId="0" borderId="128" xfId="0"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0" fontId="0" fillId="0" borderId="131" xfId="0" applyBorder="1" applyAlignment="1">
      <alignment horizontal="center" vertical="center"/>
    </xf>
    <xf numFmtId="0" fontId="0" fillId="0" borderId="133" xfId="0" applyBorder="1" applyAlignment="1">
      <alignment horizontal="center" vertical="center"/>
    </xf>
    <xf numFmtId="0" fontId="24" fillId="8" borderId="108" xfId="0" applyFont="1" applyFill="1" applyBorder="1" applyAlignment="1">
      <alignment horizontal="center" vertical="center" wrapText="1" readingOrder="1"/>
    </xf>
    <xf numFmtId="0" fontId="24" fillId="8" borderId="109" xfId="0" applyFont="1" applyFill="1" applyBorder="1" applyAlignment="1">
      <alignment horizontal="center" vertical="center" wrapText="1" readingOrder="1"/>
    </xf>
    <xf numFmtId="0" fontId="24" fillId="8" borderId="48" xfId="0" applyFont="1" applyFill="1" applyBorder="1" applyAlignment="1">
      <alignment horizontal="center" vertical="center" wrapText="1" readingOrder="1"/>
    </xf>
    <xf numFmtId="0" fontId="24" fillId="8" borderId="110" xfId="0" applyFont="1" applyFill="1" applyBorder="1" applyAlignment="1">
      <alignment horizontal="center" vertical="center" wrapText="1" readingOrder="1"/>
    </xf>
    <xf numFmtId="0" fontId="24" fillId="8" borderId="105" xfId="0" applyFont="1" applyFill="1" applyBorder="1" applyAlignment="1">
      <alignment horizontal="center" vertical="center" wrapText="1" readingOrder="1"/>
    </xf>
    <xf numFmtId="0" fontId="24" fillId="8" borderId="106" xfId="0" applyFont="1" applyFill="1" applyBorder="1" applyAlignment="1">
      <alignment horizontal="center" vertical="center" wrapText="1" readingOrder="1"/>
    </xf>
    <xf numFmtId="0" fontId="24" fillId="8" borderId="107" xfId="0" applyFont="1" applyFill="1" applyBorder="1" applyAlignment="1">
      <alignment horizontal="center" vertical="center" wrapText="1" readingOrder="1"/>
    </xf>
  </cellXfs>
  <cellStyles count="43">
    <cellStyle name="_Капитальные вложения Москва январь 2008" xfId="1"/>
    <cellStyle name="_Форма 8.20.2 - 01.10.07" xfId="2"/>
    <cellStyle name="Comma 2" xfId="3"/>
    <cellStyle name="Currency 2" xfId="4"/>
    <cellStyle name="Currency 2 2" xfId="5"/>
    <cellStyle name="Euro" xfId="6"/>
    <cellStyle name="Normal 2" xfId="7"/>
    <cellStyle name="Normal 3" xfId="8"/>
    <cellStyle name="Normal 5" xfId="9"/>
    <cellStyle name="Normal 5 2" xfId="10"/>
    <cellStyle name="Normal 7" xfId="11"/>
    <cellStyle name="Normal 8" xfId="12"/>
    <cellStyle name="Денежный 2" xfId="13"/>
    <cellStyle name="Денежный 2 2" xfId="14"/>
    <cellStyle name="Денежный 2 2 2" xfId="39"/>
    <cellStyle name="Денежный 2 3" xfId="36"/>
    <cellStyle name="Денежный 3" xfId="15"/>
    <cellStyle name="Обычный" xfId="0" builtinId="0"/>
    <cellStyle name="Обычный 2" xfId="16"/>
    <cellStyle name="Обычный 3" xfId="17"/>
    <cellStyle name="Обычный 3 2" xfId="18"/>
    <cellStyle name="Обычный 3 2 2" xfId="19"/>
    <cellStyle name="Обычный 3 2 2 2" xfId="41"/>
    <cellStyle name="Обычный 3 3" xfId="20"/>
    <cellStyle name="Обычный 3 3 2" xfId="40"/>
    <cellStyle name="Обычный 3 4" xfId="37"/>
    <cellStyle name="Обычный 4" xfId="21"/>
    <cellStyle name="Обычный 4 2" xfId="22"/>
    <cellStyle name="Обычный 4 3" xfId="23"/>
    <cellStyle name="Обычный 4 3 2" xfId="38"/>
    <cellStyle name="Обычный 5" xfId="24"/>
    <cellStyle name="Обычный 6" xfId="25"/>
    <cellStyle name="Обычный 7" xfId="26"/>
    <cellStyle name="Обычный_Шаблон паспорта проекта_1" xfId="27"/>
    <cellStyle name="Процентный" xfId="28" builtinId="5"/>
    <cellStyle name="Процентный 2" xfId="29"/>
    <cellStyle name="Процентный 3" xfId="30"/>
    <cellStyle name="Процентный 4" xfId="31"/>
    <cellStyle name="Процентный 5" xfId="32"/>
    <cellStyle name="Процентный 6" xfId="42"/>
    <cellStyle name="Стиль 1" xfId="33"/>
    <cellStyle name="Финансовый 2" xfId="34"/>
    <cellStyle name="Финансовый 3" xfId="35"/>
  </cellStyles>
  <dxfs count="4">
    <dxf>
      <fill>
        <patternFill>
          <bgColor rgb="FFFAFAFA"/>
        </patternFill>
      </fill>
    </dxf>
    <dxf>
      <font>
        <b/>
        <i val="0"/>
      </font>
      <border>
        <top style="thin">
          <color auto="1"/>
        </top>
      </border>
    </dxf>
    <dxf>
      <font>
        <b/>
        <i val="0"/>
        <color theme="0"/>
      </font>
      <fill>
        <patternFill>
          <bgColor theme="1"/>
        </patternFill>
      </fill>
    </dxf>
    <dxf>
      <border>
        <left style="thin">
          <color theme="0" tint="-4.9989318521683403E-2"/>
        </left>
        <right style="thin">
          <color theme="0" tint="-4.9989318521683403E-2"/>
        </right>
        <top style="thin">
          <color theme="0" tint="-0.34998626667073579"/>
        </top>
        <bottom style="thin">
          <color theme="0" tint="-0.34998626667073579"/>
        </bottom>
        <vertical style="thin">
          <color theme="0" tint="-4.9989318521683403E-2"/>
        </vertical>
        <horizontal style="thin">
          <color theme="0" tint="-0.34998626667073579"/>
        </horizontal>
      </border>
    </dxf>
  </dxfs>
  <tableStyles count="1" defaultTableStyle="TableStyleMedium2" defaultPivotStyle="PivotStyleLight16">
    <tableStyle name="Стиль таблицы 1" pivot="0" count="4">
      <tableStyleElement type="wholeTable" dxfId="3"/>
      <tableStyleElement type="headerRow" dxfId="2"/>
      <tableStyleElement type="totalRow" dxfId="1"/>
      <tableStyleElement type="secondRowStripe" dxfId="0"/>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ru-RU" sz="1800" b="0" i="0" u="sng" strike="noStrike" baseline="0">
                <a:solidFill>
                  <a:srgbClr val="000000"/>
                </a:solidFill>
                <a:latin typeface="Calibri"/>
                <a:cs typeface="Calibri"/>
              </a:rPr>
              <a:t>Динамика накопленного FCF и DCF по проекту, млн. руб.</a:t>
            </a:r>
          </a:p>
        </c:rich>
      </c:tx>
      <c:layout>
        <c:manualLayout>
          <c:xMode val="edge"/>
          <c:yMode val="edge"/>
          <c:x val="0.21114244088819351"/>
          <c:y val="2.461310036975305E-2"/>
        </c:manualLayout>
      </c:layout>
      <c:overlay val="1"/>
    </c:title>
    <c:autoTitleDeleted val="0"/>
    <c:plotArea>
      <c:layout>
        <c:manualLayout>
          <c:layoutTarget val="inner"/>
          <c:xMode val="edge"/>
          <c:yMode val="edge"/>
          <c:x val="0.12716093430300349"/>
          <c:y val="1.1728468683865277E-2"/>
          <c:w val="0.87143665932225345"/>
          <c:h val="0.91035948543860445"/>
        </c:manualLayout>
      </c:layout>
      <c:barChart>
        <c:barDir val="col"/>
        <c:grouping val="clustered"/>
        <c:varyColors val="0"/>
        <c:ser>
          <c:idx val="0"/>
          <c:order val="0"/>
          <c:tx>
            <c:strRef>
              <c:f>'Резюме (Проекта 1)'!$A$17</c:f>
              <c:strCache>
                <c:ptCount val="1"/>
                <c:pt idx="0">
                  <c:v>период</c:v>
                </c:pt>
              </c:strCache>
            </c:strRef>
          </c:tx>
          <c:spPr>
            <a:solidFill>
              <a:srgbClr val="FFC000"/>
            </a:solidFill>
          </c:spPr>
          <c:invertIfNegative val="0"/>
          <c:cat>
            <c:numRef>
              <c:f>'Резюме (Проекта 1)'!$B$16:$F$16</c:f>
              <c:numCache>
                <c:formatCode>General</c:formatCode>
                <c:ptCount val="5"/>
                <c:pt idx="0">
                  <c:v>2021</c:v>
                </c:pt>
                <c:pt idx="1">
                  <c:v>2022</c:v>
                </c:pt>
                <c:pt idx="2">
                  <c:v>2023</c:v>
                </c:pt>
                <c:pt idx="3">
                  <c:v>2024</c:v>
                </c:pt>
                <c:pt idx="4">
                  <c:v>2025</c:v>
                </c:pt>
              </c:numCache>
            </c:numRef>
          </c:cat>
          <c:val>
            <c:numRef>
              <c:f>'Резюме (Проекта 1)'!$B$21:$F$21</c:f>
              <c:numCache>
                <c:formatCode>#\ ##0.00_ ;[Red]\-#\ ##0.00\ ;\-</c:formatCode>
                <c:ptCount val="5"/>
                <c:pt idx="0">
                  <c:v>1280</c:v>
                </c:pt>
                <c:pt idx="1">
                  <c:v>2300</c:v>
                </c:pt>
                <c:pt idx="2">
                  <c:v>5450</c:v>
                </c:pt>
                <c:pt idx="3">
                  <c:v>300</c:v>
                </c:pt>
                <c:pt idx="4">
                  <c:v>300</c:v>
                </c:pt>
              </c:numCache>
            </c:numRef>
          </c:val>
          <c:extLst>
            <c:ext xmlns:c16="http://schemas.microsoft.com/office/drawing/2014/chart" uri="{C3380CC4-5D6E-409C-BE32-E72D297353CC}">
              <c16:uniqueId val="{00000000-E51F-4198-B54C-455A90DE9141}"/>
            </c:ext>
          </c:extLst>
        </c:ser>
        <c:ser>
          <c:idx val="1"/>
          <c:order val="1"/>
          <c:tx>
            <c:strRef>
              <c:f>'Резюме (Проекта 1)'!$A$24</c:f>
              <c:strCache>
                <c:ptCount val="1"/>
                <c:pt idx="0">
                  <c:v>Экономический эффект</c:v>
                </c:pt>
              </c:strCache>
            </c:strRef>
          </c:tx>
          <c:spPr>
            <a:solidFill>
              <a:srgbClr val="92D050"/>
            </a:solidFill>
          </c:spPr>
          <c:invertIfNegative val="0"/>
          <c:cat>
            <c:numRef>
              <c:f>'Резюме (Проекта 1)'!$B$16:$F$16</c:f>
              <c:numCache>
                <c:formatCode>General</c:formatCode>
                <c:ptCount val="5"/>
                <c:pt idx="0">
                  <c:v>2021</c:v>
                </c:pt>
                <c:pt idx="1">
                  <c:v>2022</c:v>
                </c:pt>
                <c:pt idx="2">
                  <c:v>2023</c:v>
                </c:pt>
                <c:pt idx="3">
                  <c:v>2024</c:v>
                </c:pt>
                <c:pt idx="4">
                  <c:v>2025</c:v>
                </c:pt>
              </c:numCache>
            </c:numRef>
          </c:cat>
          <c:val>
            <c:numRef>
              <c:f>'Резюме (Проекта 1)'!$B$28:$F$28</c:f>
              <c:numCache>
                <c:formatCode>#\ ##0.00_ ;[Red]\-#\ ##0.00\ ;\-</c:formatCode>
                <c:ptCount val="5"/>
                <c:pt idx="0">
                  <c:v>0</c:v>
                </c:pt>
                <c:pt idx="1">
                  <c:v>190</c:v>
                </c:pt>
                <c:pt idx="2">
                  <c:v>4516.6926600000006</c:v>
                </c:pt>
                <c:pt idx="3">
                  <c:v>7970.0487375000012</c:v>
                </c:pt>
                <c:pt idx="4">
                  <c:v>7970.0487375000012</c:v>
                </c:pt>
              </c:numCache>
            </c:numRef>
          </c:val>
          <c:extLst>
            <c:ext xmlns:c16="http://schemas.microsoft.com/office/drawing/2014/chart" uri="{C3380CC4-5D6E-409C-BE32-E72D297353CC}">
              <c16:uniqueId val="{00000001-E51F-4198-B54C-455A90DE9141}"/>
            </c:ext>
          </c:extLst>
        </c:ser>
        <c:dLbls>
          <c:showLegendKey val="0"/>
          <c:showVal val="0"/>
          <c:showCatName val="0"/>
          <c:showSerName val="0"/>
          <c:showPercent val="0"/>
          <c:showBubbleSize val="0"/>
        </c:dLbls>
        <c:gapWidth val="150"/>
        <c:axId val="780834096"/>
        <c:axId val="1"/>
      </c:barChart>
      <c:lineChart>
        <c:grouping val="standard"/>
        <c:varyColors val="0"/>
        <c:ser>
          <c:idx val="2"/>
          <c:order val="2"/>
          <c:tx>
            <c:strRef>
              <c:f>'Резюме (Проекта 1)'!$A$38</c:f>
              <c:strCache>
                <c:ptCount val="1"/>
                <c:pt idx="0">
                  <c:v>Накопленный CF</c:v>
                </c:pt>
              </c:strCache>
            </c:strRef>
          </c:tx>
          <c:spPr>
            <a:ln>
              <a:solidFill>
                <a:schemeClr val="accent2"/>
              </a:solidFill>
            </a:ln>
          </c:spPr>
          <c:marker>
            <c:symbol val="circle"/>
            <c:size val="5"/>
            <c:spPr>
              <a:solidFill>
                <a:schemeClr val="accent2"/>
              </a:solidFill>
              <a:ln>
                <a:solidFill>
                  <a:schemeClr val="accent2"/>
                </a:solidFill>
              </a:ln>
            </c:spPr>
          </c:marker>
          <c:cat>
            <c:strLit>
              <c:ptCount val="10"/>
              <c:pt idx="0">
                <c:v>1-й год</c:v>
              </c:pt>
              <c:pt idx="1">
                <c:v>2-й год</c:v>
              </c:pt>
              <c:pt idx="2">
                <c:v>3-й год</c:v>
              </c:pt>
              <c:pt idx="3">
                <c:v>4-й год</c:v>
              </c:pt>
              <c:pt idx="4">
                <c:v>5-й год</c:v>
              </c:pt>
            </c:strLit>
          </c:cat>
          <c:val>
            <c:numRef>
              <c:f>'Резюме (Проекта 1)'!$B$40:$F$40</c:f>
              <c:numCache>
                <c:formatCode>#\ ##0.00_ ;[Red]\-#\ ##0.00\ ;\-</c:formatCode>
                <c:ptCount val="5"/>
                <c:pt idx="0">
                  <c:v>-1178.3355109098541</c:v>
                </c:pt>
                <c:pt idx="1">
                  <c:v>-2824.4477513890597</c:v>
                </c:pt>
                <c:pt idx="2">
                  <c:v>-3441.4967659697841</c:v>
                </c:pt>
                <c:pt idx="3">
                  <c:v>1407.2683207792979</c:v>
                </c:pt>
                <c:pt idx="4">
                  <c:v>5660.5710284539309</c:v>
                </c:pt>
              </c:numCache>
            </c:numRef>
          </c:val>
          <c:smooth val="0"/>
          <c:extLst>
            <c:ext xmlns:c16="http://schemas.microsoft.com/office/drawing/2014/chart" uri="{C3380CC4-5D6E-409C-BE32-E72D297353CC}">
              <c16:uniqueId val="{00000002-E51F-4198-B54C-455A90DE9141}"/>
            </c:ext>
          </c:extLst>
        </c:ser>
        <c:ser>
          <c:idx val="3"/>
          <c:order val="3"/>
          <c:tx>
            <c:strRef>
              <c:f>'Резюме (Проекта 1)'!$A$42</c:f>
              <c:strCache>
                <c:ptCount val="1"/>
                <c:pt idx="0">
                  <c:v>DPP 3,71 (год)</c:v>
                </c:pt>
              </c:strCache>
            </c:strRef>
          </c:tx>
          <c:spPr>
            <a:ln>
              <a:noFill/>
            </a:ln>
          </c:spPr>
          <c:marker>
            <c:symbol val="none"/>
          </c:marker>
          <c:val>
            <c:numLit>
              <c:formatCode>General</c:formatCode>
              <c:ptCount val="1"/>
              <c:pt idx="0">
                <c:v>1</c:v>
              </c:pt>
            </c:numLit>
          </c:val>
          <c:smooth val="0"/>
          <c:extLst>
            <c:ext xmlns:c16="http://schemas.microsoft.com/office/drawing/2014/chart" uri="{C3380CC4-5D6E-409C-BE32-E72D297353CC}">
              <c16:uniqueId val="{00000003-E51F-4198-B54C-455A90DE9141}"/>
            </c:ext>
          </c:extLst>
        </c:ser>
        <c:dLbls>
          <c:showLegendKey val="0"/>
          <c:showVal val="0"/>
          <c:showCatName val="0"/>
          <c:showSerName val="0"/>
          <c:showPercent val="0"/>
          <c:showBubbleSize val="0"/>
        </c:dLbls>
        <c:marker val="1"/>
        <c:smooth val="0"/>
        <c:axId val="780834096"/>
        <c:axId val="1"/>
      </c:lineChart>
      <c:catAx>
        <c:axId val="780834096"/>
        <c:scaling>
          <c:orientation val="minMax"/>
        </c:scaling>
        <c:delete val="0"/>
        <c:axPos val="b"/>
        <c:numFmt formatCode="General" sourceLinked="1"/>
        <c:majorTickMark val="out"/>
        <c:minorTickMark val="none"/>
        <c:tickLblPos val="nextTo"/>
        <c:txPr>
          <a:bodyPr rot="0" vert="horz"/>
          <a:lstStyle/>
          <a:p>
            <a:pPr>
              <a:defRPr sz="1400" b="0" i="0" u="none" strike="noStrike" baseline="0">
                <a:solidFill>
                  <a:srgbClr val="000000"/>
                </a:solidFill>
                <a:latin typeface="Calibri"/>
                <a:ea typeface="Calibri"/>
                <a:cs typeface="Calibri"/>
              </a:defRPr>
            </a:pPr>
            <a:endParaRPr lang="ru-RU"/>
          </a:p>
        </c:txPr>
        <c:crossAx val="1"/>
        <c:crosses val="autoZero"/>
        <c:auto val="1"/>
        <c:lblAlgn val="ctr"/>
        <c:lblOffset val="100"/>
        <c:noMultiLvlLbl val="0"/>
      </c:catAx>
      <c:valAx>
        <c:axId val="1"/>
        <c:scaling>
          <c:orientation val="minMax"/>
        </c:scaling>
        <c:delete val="0"/>
        <c:axPos val="l"/>
        <c:numFmt formatCode="#\ ##0.00_ ;[Red]\-#\ ##0.00\ ;\-"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ru-RU"/>
          </a:p>
        </c:txPr>
        <c:crossAx val="780834096"/>
        <c:crosses val="autoZero"/>
        <c:crossBetween val="between"/>
      </c:valAx>
    </c:plotArea>
    <c:legend>
      <c:legendPos val="r"/>
      <c:legendEntry>
        <c:idx val="3"/>
        <c:txPr>
          <a:bodyPr/>
          <a:lstStyle/>
          <a:p>
            <a:pPr>
              <a:defRPr sz="1240" b="1" i="0" u="none" strike="noStrike" baseline="0">
                <a:solidFill>
                  <a:srgbClr val="000000"/>
                </a:solidFill>
                <a:latin typeface="Calibri"/>
                <a:ea typeface="Calibri"/>
                <a:cs typeface="Calibri"/>
              </a:defRPr>
            </a:pPr>
            <a:endParaRPr lang="ru-RU"/>
          </a:p>
        </c:txPr>
      </c:legendEntry>
      <c:layout>
        <c:manualLayout>
          <c:xMode val="edge"/>
          <c:yMode val="edge"/>
          <c:x val="0.16600930823171942"/>
          <c:y val="0.92521141061746848"/>
          <c:w val="0.66900732980731625"/>
          <c:h val="5.8396076402858377E-2"/>
        </c:manualLayout>
      </c:layout>
      <c:overlay val="0"/>
      <c:txPr>
        <a:bodyPr/>
        <a:lstStyle/>
        <a:p>
          <a:pPr>
            <a:defRPr sz="1085" b="0" i="0" u="none" strike="noStrike" baseline="0">
              <a:solidFill>
                <a:srgbClr val="000000"/>
              </a:solidFill>
              <a:latin typeface="Calibri"/>
              <a:ea typeface="Calibri"/>
              <a:cs typeface="Calibri"/>
            </a:defRPr>
          </a:pPr>
          <a:endParaRPr lang="ru-RU"/>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ru-RU"/>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wrap="square" lIns="0" tIns="0" rIns="0" bIns="0" anchor="ctr" anchorCtr="1"/>
          <a:lstStyle/>
          <a:p>
            <a:pPr algn="ctr">
              <a:defRPr/>
            </a:pPr>
            <a:r>
              <a:rPr lang="ru-RU"/>
              <a:t>ФАКТОРНЫЙ АНАЛИЗ </a:t>
            </a:r>
            <a:r>
              <a:rPr lang="en-US"/>
              <a:t>NPV</a:t>
            </a:r>
            <a:endParaRPr lang="ru-RU"/>
          </a:p>
        </cx:rich>
      </cx:tx>
    </cx:title>
    <cx:plotArea>
      <cx:plotAreaRegion>
        <cx:series layoutId="waterfall" uniqueId="{38F4FEB1-896D-4B28-9A19-9136C0E86AF6}">
          <cx:dataLabels pos="outEnd">
            <cx:visibility seriesName="0" categoryName="0" value="1"/>
            <cx:separator>, </cx:separator>
          </cx:dataLabels>
          <cx:dataId val="0"/>
          <cx:layoutPr>
            <cx:subtotals>
              <cx:idx val="3"/>
            </cx:subtotals>
          </cx:layoutPr>
        </cx:series>
      </cx:plotAreaRegion>
      <cx:axis id="0">
        <cx:catScaling gapWidth="0.5"/>
        <cx:tickLabels/>
      </cx:axis>
      <cx:axis id="1">
        <cx:valScaling/>
        <cx:majorGridlines/>
        <cx:tickLabels/>
      </cx:axis>
    </cx:plotArea>
    <cx:legend pos="r" align="ctr" overlay="0"/>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1181100</xdr:colOff>
      <xdr:row>50</xdr:row>
      <xdr:rowOff>93133</xdr:rowOff>
    </xdr:from>
    <xdr:to>
      <xdr:col>6</xdr:col>
      <xdr:colOff>381000</xdr:colOff>
      <xdr:row>77</xdr:row>
      <xdr:rowOff>169333</xdr:rowOff>
    </xdr:to>
    <xdr:graphicFrame macro="">
      <xdr:nvGraphicFramePr>
        <xdr:cNvPr id="2" name="Диаграмма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158749</xdr:colOff>
      <xdr:row>38</xdr:row>
      <xdr:rowOff>57149</xdr:rowOff>
    </xdr:from>
    <xdr:to>
      <xdr:col>18</xdr:col>
      <xdr:colOff>423333</xdr:colOff>
      <xdr:row>51</xdr:row>
      <xdr:rowOff>52916</xdr:rowOff>
    </xdr:to>
    <mc:AlternateContent xmlns:mc="http://schemas.openxmlformats.org/markup-compatibility/2006">
      <mc:Choice xmlns:cx1="http://schemas.microsoft.com/office/drawing/2015/9/8/chartex" Requires="cx1">
        <xdr:graphicFrame macro="">
          <xdr:nvGraphicFramePr>
            <xdr:cNvPr id="3" name="Диаграмма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ru-RU"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ditat.gazprom-neft.local/investments/&#1048;&#1085;&#1074;&#1077;&#1089;&#1090;.%20&#1076;&#1077;&#1103;&#1090;&#1077;&#1083;&#1100;&#1085;&#1086;&#1089;&#1090;&#1100;/&#1053;&#1052;&#1044;/&#1054;&#1073;&#1085;&#1086;&#1074;&#1083;&#1077;&#1085;&#1080;&#1077;%20&#1054;&#1057;&#1050;%2013.09%20&#1048;&#1058;%20&#1080;%20&#1062;&#1058;/&#1052;&#1077;&#1090;&#1086;&#1076;&#1086;&#1083;&#1086;&#1075;&#1080;&#1103;/&#1055;&#1088;&#1086;&#1092;&#1086;&#1088;&#1084;&#1072;%20&#1084;&#1086;&#1085;&#1080;&#1090;&#1086;&#1088;&#1080;&#1085;&#107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остижение КПЭ (2)"/>
      <sheetName val="Осовение бюджета"/>
      <sheetName val="Достижение КПЭ"/>
      <sheetName val="Факторный анализ"/>
      <sheetName val="Дерево КПЭ"/>
      <sheetName val="Список"/>
    </sheetNames>
    <sheetDataSet>
      <sheetData sheetId="0" refreshError="1"/>
      <sheetData sheetId="1">
        <row r="4">
          <cell r="H4" t="str">
            <v>Утвержденный бюджет по программе</v>
          </cell>
          <cell r="I4" t="str">
            <v>Факт освоения бюджета всего</v>
          </cell>
        </row>
      </sheetData>
      <sheetData sheetId="2" refreshError="1"/>
      <sheetData sheetId="3" refreshError="1"/>
      <sheetData sheetId="4" refreshError="1"/>
      <sheetData sheetId="5">
        <row r="3">
          <cell r="A3" t="str">
            <v>Программа реализуется в соответствии с планом</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L34"/>
  <sheetViews>
    <sheetView tabSelected="1" zoomScale="70" zoomScaleNormal="70" workbookViewId="0">
      <selection activeCell="G45" sqref="G45"/>
    </sheetView>
  </sheetViews>
  <sheetFormatPr defaultColWidth="9.140625" defaultRowHeight="15" x14ac:dyDescent="0.25"/>
  <cols>
    <col min="1" max="1" width="55.42578125" style="121" customWidth="1"/>
    <col min="2" max="2" width="16.7109375" style="121" bestFit="1" customWidth="1"/>
    <col min="3" max="3" width="17.140625" style="121" bestFit="1" customWidth="1"/>
    <col min="4" max="4" width="19.5703125" style="121" bestFit="1" customWidth="1"/>
    <col min="5" max="5" width="18.140625" style="121" bestFit="1" customWidth="1"/>
    <col min="6" max="6" width="15.42578125" style="121" bestFit="1" customWidth="1"/>
    <col min="7" max="11" width="15.42578125" style="121" customWidth="1"/>
    <col min="12" max="12" width="14.85546875" style="121" customWidth="1"/>
    <col min="13" max="16384" width="9.140625" style="121"/>
  </cols>
  <sheetData>
    <row r="1" spans="1:12" x14ac:dyDescent="0.25">
      <c r="A1" s="120" t="s">
        <v>141</v>
      </c>
    </row>
    <row r="3" spans="1:12" x14ac:dyDescent="0.25">
      <c r="A3" s="25" t="s">
        <v>59</v>
      </c>
      <c r="B3" s="119" t="s">
        <v>89</v>
      </c>
    </row>
    <row r="4" spans="1:12" x14ac:dyDescent="0.25">
      <c r="A4" s="122"/>
      <c r="B4" s="122"/>
      <c r="C4" s="122"/>
      <c r="D4" s="122"/>
      <c r="E4" s="122"/>
      <c r="F4" s="122"/>
      <c r="G4" s="122"/>
      <c r="H4" s="122"/>
      <c r="I4" s="122"/>
      <c r="J4" s="122"/>
      <c r="K4" s="122"/>
    </row>
    <row r="5" spans="1:12" ht="25.5" x14ac:dyDescent="0.25">
      <c r="A5" s="19" t="s">
        <v>58</v>
      </c>
      <c r="B5" s="21">
        <v>2020</v>
      </c>
      <c r="C5" s="21">
        <v>2021</v>
      </c>
      <c r="D5" s="21">
        <v>2022</v>
      </c>
      <c r="E5" s="21">
        <v>2023</v>
      </c>
      <c r="F5" s="21">
        <v>2024</v>
      </c>
      <c r="G5" s="21">
        <v>2025</v>
      </c>
      <c r="H5" s="21">
        <v>2026</v>
      </c>
      <c r="I5" s="21">
        <v>2027</v>
      </c>
      <c r="J5" s="21">
        <v>2028</v>
      </c>
      <c r="K5" s="21">
        <v>2029</v>
      </c>
      <c r="L5" s="22" t="s">
        <v>55</v>
      </c>
    </row>
    <row r="6" spans="1:12" x14ac:dyDescent="0.25">
      <c r="A6" s="17" t="s">
        <v>0</v>
      </c>
      <c r="B6" s="18"/>
      <c r="C6" s="18"/>
      <c r="D6" s="18"/>
      <c r="E6" s="18"/>
      <c r="F6" s="18"/>
      <c r="G6" s="18"/>
      <c r="H6" s="24"/>
      <c r="I6" s="24"/>
      <c r="J6" s="24"/>
      <c r="K6" s="24"/>
      <c r="L6" s="20"/>
    </row>
    <row r="7" spans="1:12" x14ac:dyDescent="0.25">
      <c r="A7" s="142" t="s">
        <v>15</v>
      </c>
      <c r="B7" s="110"/>
      <c r="C7" s="110"/>
      <c r="D7" s="110">
        <v>1500</v>
      </c>
      <c r="E7" s="110">
        <v>4500</v>
      </c>
      <c r="F7" s="110"/>
      <c r="G7" s="110"/>
      <c r="H7" s="110"/>
      <c r="I7" s="110"/>
      <c r="J7" s="110"/>
      <c r="K7" s="110"/>
      <c r="L7" s="109">
        <f>SUM(B7:K7)</f>
        <v>6000</v>
      </c>
    </row>
    <row r="8" spans="1:12" x14ac:dyDescent="0.25">
      <c r="A8" s="270" t="s">
        <v>156</v>
      </c>
      <c r="B8" s="110"/>
      <c r="C8" s="110"/>
      <c r="D8" s="110"/>
      <c r="E8" s="110">
        <v>500</v>
      </c>
      <c r="F8" s="110"/>
      <c r="G8" s="110"/>
      <c r="H8" s="110"/>
      <c r="I8" s="110"/>
      <c r="J8" s="110"/>
      <c r="K8" s="110"/>
      <c r="L8" s="109">
        <f t="shared" ref="L8:L14" si="0">SUM(B8:K8)</f>
        <v>500</v>
      </c>
    </row>
    <row r="9" spans="1:12" x14ac:dyDescent="0.25">
      <c r="A9" s="270" t="s">
        <v>157</v>
      </c>
      <c r="B9" s="110"/>
      <c r="C9" s="110"/>
      <c r="D9" s="110"/>
      <c r="E9" s="110">
        <v>100</v>
      </c>
      <c r="F9" s="110"/>
      <c r="G9" s="110"/>
      <c r="H9" s="110"/>
      <c r="I9" s="110"/>
      <c r="J9" s="110"/>
      <c r="K9" s="110"/>
      <c r="L9" s="109">
        <f t="shared" si="0"/>
        <v>100</v>
      </c>
    </row>
    <row r="10" spans="1:12" x14ac:dyDescent="0.25">
      <c r="A10" s="143" t="s">
        <v>16</v>
      </c>
      <c r="B10" s="110"/>
      <c r="C10" s="110"/>
      <c r="D10" s="110"/>
      <c r="E10" s="110">
        <v>450</v>
      </c>
      <c r="F10" s="110"/>
      <c r="G10" s="110"/>
      <c r="H10" s="110"/>
      <c r="I10" s="110"/>
      <c r="J10" s="110"/>
      <c r="K10" s="110"/>
      <c r="L10" s="109">
        <f t="shared" si="0"/>
        <v>450</v>
      </c>
    </row>
    <row r="11" spans="1:12" x14ac:dyDescent="0.25">
      <c r="A11" s="143" t="s">
        <v>29</v>
      </c>
      <c r="B11" s="110"/>
      <c r="C11" s="110"/>
      <c r="D11" s="110">
        <v>250</v>
      </c>
      <c r="E11" s="110">
        <v>200</v>
      </c>
      <c r="F11" s="110"/>
      <c r="G11" s="110"/>
      <c r="H11" s="110"/>
      <c r="I11" s="110"/>
      <c r="J11" s="110"/>
      <c r="K11" s="110"/>
      <c r="L11" s="109">
        <f t="shared" si="0"/>
        <v>450</v>
      </c>
    </row>
    <row r="12" spans="1:12" x14ac:dyDescent="0.25">
      <c r="A12" s="143" t="s">
        <v>30</v>
      </c>
      <c r="B12" s="110"/>
      <c r="C12" s="110"/>
      <c r="D12" s="110"/>
      <c r="E12" s="110"/>
      <c r="F12" s="110"/>
      <c r="G12" s="110"/>
      <c r="H12" s="110"/>
      <c r="I12" s="110"/>
      <c r="J12" s="110"/>
      <c r="K12" s="110"/>
      <c r="L12" s="109">
        <f t="shared" si="0"/>
        <v>0</v>
      </c>
    </row>
    <row r="13" spans="1:12" x14ac:dyDescent="0.25">
      <c r="A13" s="143" t="s">
        <v>31</v>
      </c>
      <c r="B13" s="110"/>
      <c r="C13" s="110"/>
      <c r="D13" s="110"/>
      <c r="E13" s="110"/>
      <c r="F13" s="110"/>
      <c r="G13" s="110"/>
      <c r="H13" s="110"/>
      <c r="I13" s="110"/>
      <c r="J13" s="110"/>
      <c r="K13" s="110"/>
      <c r="L13" s="109">
        <f t="shared" si="0"/>
        <v>0</v>
      </c>
    </row>
    <row r="14" spans="1:12" x14ac:dyDescent="0.25">
      <c r="A14" s="143" t="s">
        <v>32</v>
      </c>
      <c r="B14" s="110"/>
      <c r="C14" s="110"/>
      <c r="D14" s="110"/>
      <c r="E14" s="110"/>
      <c r="F14" s="110"/>
      <c r="G14" s="110"/>
      <c r="H14" s="110"/>
      <c r="I14" s="110"/>
      <c r="J14" s="110"/>
      <c r="K14" s="110"/>
      <c r="L14" s="109">
        <f t="shared" si="0"/>
        <v>0</v>
      </c>
    </row>
    <row r="15" spans="1:12" x14ac:dyDescent="0.25">
      <c r="A15" s="144" t="s">
        <v>33</v>
      </c>
      <c r="B15" s="271">
        <f t="shared" ref="B15:L15" si="1">SUM(B7,B10:B14)</f>
        <v>0</v>
      </c>
      <c r="C15" s="271">
        <f t="shared" si="1"/>
        <v>0</v>
      </c>
      <c r="D15" s="271">
        <f t="shared" si="1"/>
        <v>1750</v>
      </c>
      <c r="E15" s="271">
        <f t="shared" si="1"/>
        <v>5150</v>
      </c>
      <c r="F15" s="271">
        <f t="shared" si="1"/>
        <v>0</v>
      </c>
      <c r="G15" s="271">
        <f t="shared" si="1"/>
        <v>0</v>
      </c>
      <c r="H15" s="271">
        <f t="shared" si="1"/>
        <v>0</v>
      </c>
      <c r="I15" s="271">
        <f t="shared" si="1"/>
        <v>0</v>
      </c>
      <c r="J15" s="271">
        <f t="shared" si="1"/>
        <v>0</v>
      </c>
      <c r="K15" s="271">
        <f t="shared" si="1"/>
        <v>0</v>
      </c>
      <c r="L15" s="114">
        <f t="shared" si="1"/>
        <v>6900</v>
      </c>
    </row>
    <row r="16" spans="1:12" x14ac:dyDescent="0.25">
      <c r="A16" s="123"/>
      <c r="B16" s="124"/>
      <c r="C16" s="124"/>
      <c r="D16" s="124"/>
      <c r="E16" s="124"/>
      <c r="F16" s="124"/>
      <c r="G16" s="124"/>
      <c r="H16" s="124"/>
      <c r="I16" s="124"/>
      <c r="J16" s="124"/>
      <c r="K16" s="124"/>
      <c r="L16" s="124"/>
    </row>
    <row r="17" spans="1:12" x14ac:dyDescent="0.25">
      <c r="A17" s="23" t="s">
        <v>1</v>
      </c>
      <c r="B17" s="111"/>
      <c r="C17" s="111"/>
      <c r="D17" s="111"/>
      <c r="E17" s="111"/>
      <c r="F17" s="111"/>
      <c r="G17" s="111"/>
      <c r="H17" s="111"/>
      <c r="I17" s="111"/>
      <c r="J17" s="111"/>
      <c r="K17" s="111"/>
      <c r="L17" s="112"/>
    </row>
    <row r="18" spans="1:12" x14ac:dyDescent="0.25">
      <c r="A18" s="145" t="s">
        <v>17</v>
      </c>
      <c r="B18" s="113"/>
      <c r="C18" s="113">
        <v>600</v>
      </c>
      <c r="D18" s="113"/>
      <c r="E18" s="113"/>
      <c r="F18" s="113"/>
      <c r="G18" s="113"/>
      <c r="H18" s="113"/>
      <c r="I18" s="113"/>
      <c r="J18" s="113"/>
      <c r="K18" s="113"/>
      <c r="L18" s="114">
        <f>SUM(B18:K18)</f>
        <v>600</v>
      </c>
    </row>
    <row r="19" spans="1:12" x14ac:dyDescent="0.25">
      <c r="A19" s="146" t="s">
        <v>18</v>
      </c>
      <c r="B19" s="113"/>
      <c r="C19" s="113">
        <v>450</v>
      </c>
      <c r="D19" s="113">
        <v>250</v>
      </c>
      <c r="E19" s="113"/>
      <c r="F19" s="113"/>
      <c r="G19" s="113"/>
      <c r="H19" s="113"/>
      <c r="I19" s="113"/>
      <c r="J19" s="113"/>
      <c r="K19" s="113"/>
      <c r="L19" s="114">
        <f t="shared" ref="L19:L25" si="2">SUM(B19:K19)</f>
        <v>700</v>
      </c>
    </row>
    <row r="20" spans="1:12" x14ac:dyDescent="0.25">
      <c r="A20" s="146" t="s">
        <v>90</v>
      </c>
      <c r="B20" s="113"/>
      <c r="C20" s="113">
        <v>40</v>
      </c>
      <c r="D20" s="113"/>
      <c r="E20" s="113"/>
      <c r="F20" s="113"/>
      <c r="G20" s="113"/>
      <c r="H20" s="113"/>
      <c r="I20" s="113"/>
      <c r="J20" s="113"/>
      <c r="K20" s="113"/>
      <c r="L20" s="114">
        <f t="shared" si="2"/>
        <v>40</v>
      </c>
    </row>
    <row r="21" spans="1:12" x14ac:dyDescent="0.25">
      <c r="A21" s="146" t="s">
        <v>92</v>
      </c>
      <c r="B21" s="113"/>
      <c r="C21" s="113">
        <v>40</v>
      </c>
      <c r="D21" s="113"/>
      <c r="E21" s="113"/>
      <c r="F21" s="113"/>
      <c r="G21" s="113"/>
      <c r="H21" s="113"/>
      <c r="I21" s="113"/>
      <c r="J21" s="113"/>
      <c r="K21" s="113"/>
      <c r="L21" s="114">
        <f t="shared" si="2"/>
        <v>40</v>
      </c>
    </row>
    <row r="22" spans="1:12" x14ac:dyDescent="0.25">
      <c r="A22" s="146" t="s">
        <v>91</v>
      </c>
      <c r="B22" s="113"/>
      <c r="C22" s="113">
        <v>150</v>
      </c>
      <c r="D22" s="113"/>
      <c r="E22" s="113"/>
      <c r="F22" s="113"/>
      <c r="G22" s="113"/>
      <c r="H22" s="113"/>
      <c r="I22" s="113"/>
      <c r="J22" s="113"/>
      <c r="K22" s="113"/>
      <c r="L22" s="114">
        <f t="shared" si="2"/>
        <v>150</v>
      </c>
    </row>
    <row r="23" spans="1:12" x14ac:dyDescent="0.25">
      <c r="A23" s="146" t="s">
        <v>34</v>
      </c>
      <c r="B23" s="113"/>
      <c r="C23" s="113"/>
      <c r="D23" s="113"/>
      <c r="E23" s="113"/>
      <c r="F23" s="113"/>
      <c r="G23" s="113"/>
      <c r="H23" s="113"/>
      <c r="I23" s="113"/>
      <c r="J23" s="113"/>
      <c r="K23" s="113"/>
      <c r="L23" s="114">
        <f t="shared" si="2"/>
        <v>0</v>
      </c>
    </row>
    <row r="24" spans="1:12" x14ac:dyDescent="0.25">
      <c r="A24" s="147" t="s">
        <v>152</v>
      </c>
      <c r="B24" s="113"/>
      <c r="C24" s="113"/>
      <c r="D24" s="113">
        <v>300</v>
      </c>
      <c r="E24" s="113">
        <v>300</v>
      </c>
      <c r="F24" s="113">
        <v>300</v>
      </c>
      <c r="G24" s="113">
        <v>300</v>
      </c>
      <c r="H24" s="113">
        <v>300</v>
      </c>
      <c r="I24" s="113">
        <v>300</v>
      </c>
      <c r="J24" s="113">
        <v>300</v>
      </c>
      <c r="K24" s="113">
        <v>300</v>
      </c>
      <c r="L24" s="114">
        <f t="shared" si="2"/>
        <v>2400</v>
      </c>
    </row>
    <row r="25" spans="1:12" x14ac:dyDescent="0.25">
      <c r="A25" s="270" t="s">
        <v>153</v>
      </c>
      <c r="B25" s="113"/>
      <c r="C25" s="113"/>
      <c r="D25" s="113">
        <v>100</v>
      </c>
      <c r="E25" s="113">
        <v>100</v>
      </c>
      <c r="F25" s="113">
        <v>100</v>
      </c>
      <c r="G25" s="113">
        <v>100</v>
      </c>
      <c r="H25" s="113">
        <v>100</v>
      </c>
      <c r="I25" s="113">
        <v>100</v>
      </c>
      <c r="J25" s="113">
        <v>100</v>
      </c>
      <c r="K25" s="113">
        <v>100</v>
      </c>
      <c r="L25" s="114">
        <f t="shared" si="2"/>
        <v>800</v>
      </c>
    </row>
    <row r="26" spans="1:12" x14ac:dyDescent="0.25">
      <c r="A26" s="148" t="s">
        <v>93</v>
      </c>
      <c r="B26" s="115">
        <f>SUM(B18:B24)</f>
        <v>0</v>
      </c>
      <c r="C26" s="115">
        <f t="shared" ref="C26:L26" si="3">SUM(C18:C24)</f>
        <v>1280</v>
      </c>
      <c r="D26" s="115">
        <f t="shared" si="3"/>
        <v>550</v>
      </c>
      <c r="E26" s="115">
        <f t="shared" si="3"/>
        <v>300</v>
      </c>
      <c r="F26" s="115">
        <f t="shared" si="3"/>
        <v>300</v>
      </c>
      <c r="G26" s="115">
        <f t="shared" si="3"/>
        <v>300</v>
      </c>
      <c r="H26" s="115">
        <f t="shared" si="3"/>
        <v>300</v>
      </c>
      <c r="I26" s="115">
        <f t="shared" si="3"/>
        <v>300</v>
      </c>
      <c r="J26" s="115">
        <f t="shared" si="3"/>
        <v>300</v>
      </c>
      <c r="K26" s="115">
        <f t="shared" si="3"/>
        <v>300</v>
      </c>
      <c r="L26" s="114">
        <f t="shared" si="3"/>
        <v>3930</v>
      </c>
    </row>
    <row r="27" spans="1:12" x14ac:dyDescent="0.25">
      <c r="A27" s="125"/>
      <c r="B27" s="126"/>
      <c r="C27" s="126"/>
      <c r="D27" s="126"/>
      <c r="E27" s="126"/>
      <c r="F27" s="126"/>
      <c r="G27" s="126"/>
      <c r="H27" s="126"/>
      <c r="I27" s="126"/>
      <c r="J27" s="126"/>
      <c r="K27" s="126"/>
      <c r="L27" s="127"/>
    </row>
    <row r="28" spans="1:12" x14ac:dyDescent="0.25">
      <c r="A28" s="149" t="s">
        <v>56</v>
      </c>
      <c r="B28" s="116"/>
      <c r="C28" s="116">
        <f>C15+C26</f>
        <v>1280</v>
      </c>
      <c r="D28" s="116">
        <f t="shared" ref="D28:K28" si="4">D15+D26</f>
        <v>2300</v>
      </c>
      <c r="E28" s="116">
        <f t="shared" si="4"/>
        <v>5450</v>
      </c>
      <c r="F28" s="116">
        <f t="shared" si="4"/>
        <v>300</v>
      </c>
      <c r="G28" s="116">
        <f t="shared" si="4"/>
        <v>300</v>
      </c>
      <c r="H28" s="116">
        <f>H15+H26</f>
        <v>300</v>
      </c>
      <c r="I28" s="116">
        <f t="shared" si="4"/>
        <v>300</v>
      </c>
      <c r="J28" s="116">
        <f t="shared" si="4"/>
        <v>300</v>
      </c>
      <c r="K28" s="116">
        <f t="shared" si="4"/>
        <v>300</v>
      </c>
      <c r="L28" s="117">
        <f>SUM(B28:K28)</f>
        <v>10830</v>
      </c>
    </row>
    <row r="29" spans="1:12" x14ac:dyDescent="0.25">
      <c r="A29" s="123"/>
      <c r="B29" s="128"/>
      <c r="C29" s="128"/>
      <c r="D29" s="128"/>
      <c r="E29" s="128"/>
      <c r="F29" s="128"/>
      <c r="G29" s="128"/>
      <c r="H29" s="128"/>
      <c r="I29" s="128"/>
      <c r="J29" s="128"/>
      <c r="K29" s="128"/>
    </row>
    <row r="30" spans="1:12" x14ac:dyDescent="0.25">
      <c r="A30" s="144" t="s">
        <v>57</v>
      </c>
      <c r="B30" s="118">
        <f>L28</f>
        <v>10830</v>
      </c>
      <c r="C30" s="129"/>
      <c r="D30" s="129"/>
      <c r="E30" s="129"/>
      <c r="F30" s="129"/>
      <c r="G30" s="129"/>
      <c r="H30" s="129"/>
      <c r="I30" s="129"/>
      <c r="J30" s="129"/>
      <c r="K30" s="129"/>
      <c r="L30" s="264"/>
    </row>
    <row r="31" spans="1:12" x14ac:dyDescent="0.25">
      <c r="L31" s="264"/>
    </row>
    <row r="32" spans="1:12" x14ac:dyDescent="0.25">
      <c r="A32" s="120" t="s">
        <v>84</v>
      </c>
    </row>
    <row r="33" spans="1:1" x14ac:dyDescent="0.25">
      <c r="A33" s="121" t="s">
        <v>154</v>
      </c>
    </row>
    <row r="34" spans="1:1" x14ac:dyDescent="0.25">
      <c r="A34" s="121" t="s">
        <v>155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AK23"/>
  <sheetViews>
    <sheetView zoomScale="70" zoomScaleNormal="70" workbookViewId="0">
      <pane xSplit="3" topLeftCell="F1" activePane="topRight" state="frozen"/>
      <selection activeCell="B34" sqref="B34"/>
      <selection pane="topRight" activeCell="N6" sqref="N6"/>
    </sheetView>
  </sheetViews>
  <sheetFormatPr defaultColWidth="9.140625" defaultRowHeight="15" x14ac:dyDescent="0.25"/>
  <cols>
    <col min="1" max="1" width="7.85546875" style="121" customWidth="1"/>
    <col min="2" max="2" width="20" style="121" customWidth="1"/>
    <col min="3" max="3" width="52.42578125" style="121" customWidth="1"/>
    <col min="4" max="5" width="20" style="121" customWidth="1"/>
    <col min="6" max="6" width="48.140625" style="121" customWidth="1"/>
    <col min="7" max="7" width="19.28515625" style="121" customWidth="1"/>
    <col min="8" max="8" width="28" style="121" customWidth="1"/>
    <col min="9" max="12" width="10.85546875" style="121" customWidth="1"/>
    <col min="13" max="13" width="31.140625" style="121" customWidth="1"/>
    <col min="14" max="17" width="10.85546875" style="121" customWidth="1"/>
    <col min="18" max="18" width="45.42578125" style="121" customWidth="1"/>
    <col min="19" max="22" width="10.85546875" style="121" customWidth="1"/>
    <col min="23" max="23" width="10" style="121" customWidth="1"/>
    <col min="24" max="24" width="33.140625" style="121" customWidth="1"/>
    <col min="25" max="25" width="10" style="121" customWidth="1"/>
    <col min="26" max="26" width="9.140625" style="121"/>
    <col min="27" max="27" width="26.5703125" style="121" customWidth="1"/>
    <col min="28" max="28" width="31.140625" style="121" customWidth="1"/>
    <col min="29" max="29" width="26.5703125" style="121" customWidth="1"/>
    <col min="30" max="37" width="9.42578125" style="121" customWidth="1"/>
    <col min="38" max="16384" width="9.140625" style="121"/>
  </cols>
  <sheetData>
    <row r="1" spans="1:37" ht="21" x14ac:dyDescent="0.25">
      <c r="A1" s="130" t="s">
        <v>142</v>
      </c>
      <c r="B1" s="131"/>
    </row>
    <row r="2" spans="1:37" ht="15.75" thickBot="1" x14ac:dyDescent="0.3">
      <c r="A2" s="132"/>
      <c r="B2" s="132"/>
      <c r="E2" s="133"/>
      <c r="F2" s="133"/>
      <c r="G2" s="133"/>
    </row>
    <row r="3" spans="1:37" ht="16.5" customHeight="1" thickTop="1" thickBot="1" x14ac:dyDescent="0.3">
      <c r="A3" s="304" t="s">
        <v>13</v>
      </c>
      <c r="B3" s="302" t="s">
        <v>47</v>
      </c>
      <c r="C3" s="35" t="s">
        <v>37</v>
      </c>
      <c r="D3" s="306" t="s">
        <v>43</v>
      </c>
      <c r="E3" s="307" t="s">
        <v>49</v>
      </c>
      <c r="F3" s="309" t="s">
        <v>36</v>
      </c>
      <c r="G3" s="310" t="s">
        <v>60</v>
      </c>
      <c r="H3" s="297" t="s">
        <v>38</v>
      </c>
      <c r="I3" s="298"/>
      <c r="J3" s="298"/>
      <c r="K3" s="298"/>
      <c r="L3" s="298"/>
      <c r="M3" s="299" t="s">
        <v>39</v>
      </c>
      <c r="N3" s="300"/>
      <c r="O3" s="300"/>
      <c r="P3" s="300"/>
      <c r="Q3" s="300"/>
      <c r="R3" s="299" t="s">
        <v>61</v>
      </c>
      <c r="S3" s="300"/>
      <c r="T3" s="300"/>
      <c r="U3" s="300"/>
      <c r="V3" s="301"/>
      <c r="W3" s="302" t="s">
        <v>53</v>
      </c>
      <c r="X3" s="312" t="s">
        <v>148</v>
      </c>
      <c r="Y3" s="313"/>
      <c r="AA3" s="45" t="s">
        <v>62</v>
      </c>
      <c r="AB3" s="46" t="s">
        <v>63</v>
      </c>
      <c r="AC3" s="47" t="s">
        <v>64</v>
      </c>
      <c r="AD3" s="287">
        <f>I4</f>
        <v>2022</v>
      </c>
      <c r="AE3" s="288"/>
      <c r="AF3" s="287">
        <f>J4</f>
        <v>2023</v>
      </c>
      <c r="AG3" s="288"/>
      <c r="AH3" s="287">
        <f>K4</f>
        <v>2024</v>
      </c>
      <c r="AI3" s="288"/>
      <c r="AJ3" s="287">
        <f>L4</f>
        <v>2025</v>
      </c>
      <c r="AK3" s="288"/>
    </row>
    <row r="4" spans="1:37" ht="26.25" thickTop="1" thickBot="1" x14ac:dyDescent="0.3">
      <c r="A4" s="305"/>
      <c r="B4" s="303"/>
      <c r="C4" s="36" t="s">
        <v>35</v>
      </c>
      <c r="D4" s="306"/>
      <c r="E4" s="308"/>
      <c r="F4" s="309"/>
      <c r="G4" s="311"/>
      <c r="H4" s="48"/>
      <c r="I4" s="49">
        <v>2022</v>
      </c>
      <c r="J4" s="49">
        <v>2023</v>
      </c>
      <c r="K4" s="49">
        <v>2024</v>
      </c>
      <c r="L4" s="49">
        <v>2025</v>
      </c>
      <c r="M4" s="50"/>
      <c r="N4" s="49">
        <v>2022</v>
      </c>
      <c r="O4" s="49">
        <v>2023</v>
      </c>
      <c r="P4" s="49">
        <v>2024</v>
      </c>
      <c r="Q4" s="49">
        <v>2025</v>
      </c>
      <c r="R4" s="179"/>
      <c r="S4" s="49">
        <v>2022</v>
      </c>
      <c r="T4" s="49">
        <v>2023</v>
      </c>
      <c r="U4" s="49">
        <v>2024</v>
      </c>
      <c r="V4" s="49">
        <v>2025</v>
      </c>
      <c r="W4" s="303"/>
      <c r="X4" s="314"/>
      <c r="Y4" s="315"/>
      <c r="AA4" s="51" t="s">
        <v>65</v>
      </c>
      <c r="AB4" s="52" t="s">
        <v>66</v>
      </c>
      <c r="AC4" s="52" t="s">
        <v>67</v>
      </c>
      <c r="AD4" s="53" t="s">
        <v>68</v>
      </c>
      <c r="AE4" s="54">
        <f>S22</f>
        <v>0</v>
      </c>
      <c r="AF4" s="53" t="s">
        <v>68</v>
      </c>
      <c r="AG4" s="54">
        <f>T22</f>
        <v>0</v>
      </c>
      <c r="AH4" s="53" t="s">
        <v>68</v>
      </c>
      <c r="AI4" s="54">
        <f>U22</f>
        <v>0</v>
      </c>
      <c r="AJ4" s="53" t="s">
        <v>68</v>
      </c>
      <c r="AK4" s="54">
        <f>V22</f>
        <v>0</v>
      </c>
    </row>
    <row r="5" spans="1:37" ht="29.25" customHeight="1" thickTop="1" x14ac:dyDescent="0.25">
      <c r="A5" s="289">
        <v>1</v>
      </c>
      <c r="B5" s="275" t="s">
        <v>107</v>
      </c>
      <c r="C5" s="277" t="s">
        <v>69</v>
      </c>
      <c r="D5" s="279" t="s">
        <v>44</v>
      </c>
      <c r="E5" s="290" t="s">
        <v>50</v>
      </c>
      <c r="F5" s="292" t="s">
        <v>70</v>
      </c>
      <c r="G5" s="55" t="s">
        <v>71</v>
      </c>
      <c r="H5" s="294" t="s">
        <v>72</v>
      </c>
      <c r="I5" s="56">
        <v>2.8</v>
      </c>
      <c r="J5" s="57">
        <v>2.8</v>
      </c>
      <c r="K5" s="57">
        <v>2.8</v>
      </c>
      <c r="L5" s="57">
        <v>2.8</v>
      </c>
      <c r="M5" s="295" t="s">
        <v>96</v>
      </c>
      <c r="N5" s="56">
        <f>I7*I8</f>
        <v>59200.389899999995</v>
      </c>
      <c r="O5" s="56">
        <f>J7*J8</f>
        <v>59200.389899999995</v>
      </c>
      <c r="P5" s="56">
        <f>K7*K8</f>
        <v>59200.389899999995</v>
      </c>
      <c r="Q5" s="193">
        <f>L7*L8</f>
        <v>59200.389899999995</v>
      </c>
      <c r="R5" s="191" t="s">
        <v>105</v>
      </c>
      <c r="S5" s="184">
        <f>N5-N6</f>
        <v>0</v>
      </c>
      <c r="T5" s="184">
        <f>O5-O6</f>
        <v>3946.6926600000006</v>
      </c>
      <c r="U5" s="184">
        <f>P5-P6</f>
        <v>7400.0487375000012</v>
      </c>
      <c r="V5" s="201">
        <f>Q5-Q6</f>
        <v>7400.0487375000012</v>
      </c>
      <c r="W5" s="185">
        <f>SUM(S5:V6)</f>
        <v>18746.790135000003</v>
      </c>
      <c r="X5" s="250" t="str">
        <f>'Резюме (Проекта 1)'!A8</f>
        <v>Ожидаемая дисконтированная стоимость проекта, NPV (тыс. руб.)</v>
      </c>
      <c r="Y5" s="253">
        <f>'Резюме (Проекта 1)'!B8</f>
        <v>5660.5710284539309</v>
      </c>
      <c r="AA5" s="239" t="s">
        <v>73</v>
      </c>
      <c r="AB5" s="58" t="str">
        <f>M5</f>
        <v>Стоимость обслуживания капитала, тыс. руб.</v>
      </c>
      <c r="AC5" s="58" t="s">
        <v>74</v>
      </c>
      <c r="AD5" s="59" t="s">
        <v>68</v>
      </c>
      <c r="AE5" s="60">
        <f>N6</f>
        <v>59200.389899999995</v>
      </c>
      <c r="AF5" s="59" t="s">
        <v>68</v>
      </c>
      <c r="AG5" s="60">
        <f>O6</f>
        <v>55253.697239999994</v>
      </c>
      <c r="AH5" s="59" t="s">
        <v>68</v>
      </c>
      <c r="AI5" s="60">
        <f>P6</f>
        <v>51800.341162499994</v>
      </c>
      <c r="AJ5" s="59" t="s">
        <v>68</v>
      </c>
      <c r="AK5" s="60">
        <f>Q6</f>
        <v>51800.341162499994</v>
      </c>
    </row>
    <row r="6" spans="1:37" ht="29.25" customHeight="1" thickBot="1" x14ac:dyDescent="0.3">
      <c r="A6" s="274"/>
      <c r="B6" s="276"/>
      <c r="C6" s="278"/>
      <c r="D6" s="280"/>
      <c r="E6" s="291"/>
      <c r="F6" s="293"/>
      <c r="G6" s="61" t="s">
        <v>75</v>
      </c>
      <c r="H6" s="294"/>
      <c r="I6" s="62">
        <v>2.8</v>
      </c>
      <c r="J6" s="63">
        <v>3</v>
      </c>
      <c r="K6" s="63">
        <v>3.2</v>
      </c>
      <c r="L6" s="63">
        <v>3.2</v>
      </c>
      <c r="M6" s="296"/>
      <c r="N6" s="64">
        <f>(I5/I6)*I7*I8</f>
        <v>59200.389899999995</v>
      </c>
      <c r="O6" s="64">
        <f>(J5/J6)*J7*J8</f>
        <v>55253.697239999994</v>
      </c>
      <c r="P6" s="64">
        <f>(K5/K6)*K7*K8</f>
        <v>51800.341162499994</v>
      </c>
      <c r="Q6" s="194">
        <f>(L5/L6)*L7*L8</f>
        <v>51800.341162499994</v>
      </c>
      <c r="R6" s="192"/>
      <c r="S6" s="182"/>
      <c r="T6" s="182"/>
      <c r="U6" s="182"/>
      <c r="V6" s="202"/>
      <c r="W6" s="178"/>
      <c r="X6" s="251" t="str">
        <f>'Резюме (Проекта 1)'!A9</f>
        <v>Ожидаемый индекс доходности, PI</v>
      </c>
      <c r="Y6" s="253">
        <f>'Резюме (Проекта 1)'!B9</f>
        <v>1.9086964761428136</v>
      </c>
      <c r="Z6" s="134"/>
      <c r="AA6" s="240"/>
      <c r="AB6" s="65" t="str">
        <f>M9</f>
        <v>Трудозатраты на инветаризацию, тыс. руб.</v>
      </c>
      <c r="AC6" s="65" t="s">
        <v>74</v>
      </c>
      <c r="AD6" s="66" t="s">
        <v>68</v>
      </c>
      <c r="AE6" s="67">
        <f>N10</f>
        <v>2660</v>
      </c>
      <c r="AF6" s="66" t="s">
        <v>68</v>
      </c>
      <c r="AG6" s="67">
        <f>O10</f>
        <v>2280</v>
      </c>
      <c r="AH6" s="66" t="s">
        <v>68</v>
      </c>
      <c r="AI6" s="67">
        <f>P10</f>
        <v>2280</v>
      </c>
      <c r="AJ6" s="66" t="s">
        <v>68</v>
      </c>
      <c r="AK6" s="67">
        <f>Q10</f>
        <v>2280</v>
      </c>
    </row>
    <row r="7" spans="1:37" ht="30.75" thickTop="1" x14ac:dyDescent="0.25">
      <c r="A7" s="37" t="s">
        <v>76</v>
      </c>
      <c r="B7" s="68" t="s">
        <v>77</v>
      </c>
      <c r="C7" s="33"/>
      <c r="D7" s="69"/>
      <c r="E7" s="70"/>
      <c r="F7" s="256" t="s">
        <v>94</v>
      </c>
      <c r="G7" s="71"/>
      <c r="H7" s="72"/>
      <c r="I7" s="73">
        <v>657782.11</v>
      </c>
      <c r="J7" s="73">
        <v>657782.11</v>
      </c>
      <c r="K7" s="73">
        <v>657782.11</v>
      </c>
      <c r="L7" s="73">
        <v>657782.11</v>
      </c>
      <c r="M7" s="139"/>
      <c r="N7" s="74"/>
      <c r="O7" s="75"/>
      <c r="P7" s="75"/>
      <c r="Q7" s="195"/>
      <c r="R7" s="76"/>
      <c r="S7" s="76"/>
      <c r="T7" s="76"/>
      <c r="U7" s="77"/>
      <c r="V7" s="203"/>
      <c r="W7" s="198"/>
      <c r="X7" s="251" t="str">
        <f>'Резюме (Проекта 1)'!A11</f>
        <v>Приведенная стоимость инвестиций (PVI)</v>
      </c>
      <c r="Y7" s="253">
        <f>'Резюме (Проекта 1)'!B11</f>
        <v>6229.330889981682</v>
      </c>
      <c r="AA7" s="239" t="s">
        <v>81</v>
      </c>
      <c r="AB7" s="85" t="str">
        <f>H5</f>
        <v>Поввышение коэффициента оборачиваемости</v>
      </c>
      <c r="AC7" s="85" t="s">
        <v>82</v>
      </c>
      <c r="AD7" s="59" t="s">
        <v>68</v>
      </c>
      <c r="AE7" s="60">
        <f>I6</f>
        <v>2.8</v>
      </c>
      <c r="AF7" s="59" t="s">
        <v>68</v>
      </c>
      <c r="AG7" s="60">
        <f>J6</f>
        <v>3</v>
      </c>
      <c r="AH7" s="59" t="s">
        <v>68</v>
      </c>
      <c r="AI7" s="60">
        <f>K6</f>
        <v>3.2</v>
      </c>
      <c r="AJ7" s="59" t="s">
        <v>68</v>
      </c>
      <c r="AK7" s="60">
        <f>L6</f>
        <v>3.2</v>
      </c>
    </row>
    <row r="8" spans="1:37" ht="30" customHeight="1" thickBot="1" x14ac:dyDescent="0.3">
      <c r="A8" s="37" t="s">
        <v>40</v>
      </c>
      <c r="B8" s="68" t="s">
        <v>77</v>
      </c>
      <c r="C8" s="33"/>
      <c r="D8" s="69"/>
      <c r="E8" s="70"/>
      <c r="F8" s="255" t="s">
        <v>78</v>
      </c>
      <c r="G8" s="71"/>
      <c r="H8" s="79"/>
      <c r="I8" s="80">
        <v>0.09</v>
      </c>
      <c r="J8" s="81">
        <v>0.09</v>
      </c>
      <c r="K8" s="81">
        <v>0.09</v>
      </c>
      <c r="L8" s="81">
        <v>0.09</v>
      </c>
      <c r="M8" s="82"/>
      <c r="N8" s="29"/>
      <c r="O8" s="26"/>
      <c r="P8" s="26"/>
      <c r="Q8" s="196"/>
      <c r="R8" s="186"/>
      <c r="S8" s="186"/>
      <c r="T8" s="186"/>
      <c r="U8" s="187"/>
      <c r="V8" s="204"/>
      <c r="W8" s="199"/>
      <c r="X8" s="251" t="str">
        <f>'Резюме (Проекта 1)'!A12</f>
        <v>DDP, лет
Период окупаемости инвестиций</v>
      </c>
      <c r="Y8" s="253">
        <f>'Резюме (Проекта 1)'!DPP</f>
        <v>3.7097676840181135</v>
      </c>
      <c r="AA8" s="240"/>
      <c r="AB8" s="241" t="str">
        <f>H9</f>
        <v>Снижение трудозатрат на инветаризацию, FTE</v>
      </c>
      <c r="AC8" s="241" t="s">
        <v>83</v>
      </c>
      <c r="AD8" s="244" t="s">
        <v>68</v>
      </c>
      <c r="AE8" s="245">
        <f>I10</f>
        <v>1.4</v>
      </c>
      <c r="AF8" s="244" t="s">
        <v>68</v>
      </c>
      <c r="AG8" s="245">
        <f>J10</f>
        <v>1.2</v>
      </c>
      <c r="AH8" s="244" t="s">
        <v>68</v>
      </c>
      <c r="AI8" s="245">
        <f>K10</f>
        <v>1.2</v>
      </c>
      <c r="AJ8" s="244" t="s">
        <v>68</v>
      </c>
      <c r="AK8" s="245">
        <f>L10</f>
        <v>1.2</v>
      </c>
    </row>
    <row r="9" spans="1:37" ht="24.75" customHeight="1" x14ac:dyDescent="0.25">
      <c r="A9" s="273">
        <v>2</v>
      </c>
      <c r="B9" s="275" t="s">
        <v>107</v>
      </c>
      <c r="C9" s="277" t="s">
        <v>69</v>
      </c>
      <c r="D9" s="279" t="s">
        <v>44</v>
      </c>
      <c r="E9" s="281" t="s">
        <v>50</v>
      </c>
      <c r="F9" s="283" t="s">
        <v>79</v>
      </c>
      <c r="G9" s="83" t="s">
        <v>71</v>
      </c>
      <c r="H9" s="285" t="s">
        <v>80</v>
      </c>
      <c r="I9" s="84">
        <v>1.5</v>
      </c>
      <c r="J9" s="56">
        <v>1.5</v>
      </c>
      <c r="K9" s="84">
        <v>1.5</v>
      </c>
      <c r="L9" s="84">
        <v>1.5</v>
      </c>
      <c r="M9" s="285" t="s">
        <v>97</v>
      </c>
      <c r="N9" s="31">
        <f t="shared" ref="N9:Q10" si="0">I9*$I$11</f>
        <v>2850</v>
      </c>
      <c r="O9" s="31">
        <f t="shared" si="0"/>
        <v>2850</v>
      </c>
      <c r="P9" s="31">
        <f t="shared" si="0"/>
        <v>2850</v>
      </c>
      <c r="Q9" s="197">
        <f t="shared" si="0"/>
        <v>2850</v>
      </c>
      <c r="R9" s="206" t="s">
        <v>99</v>
      </c>
      <c r="S9" s="183">
        <f>N9-N10</f>
        <v>190</v>
      </c>
      <c r="T9" s="183">
        <f>O9-O10</f>
        <v>570</v>
      </c>
      <c r="U9" s="184">
        <f>P9-P10</f>
        <v>570</v>
      </c>
      <c r="V9" s="201">
        <f>Q9-Q10</f>
        <v>570</v>
      </c>
      <c r="W9" s="185">
        <f>SUM(S9:V10)</f>
        <v>1900</v>
      </c>
      <c r="X9" s="252"/>
      <c r="Y9" s="252"/>
      <c r="AA9" s="121" t="s">
        <v>84</v>
      </c>
      <c r="AB9" s="242"/>
      <c r="AC9" s="243"/>
    </row>
    <row r="10" spans="1:37" x14ac:dyDescent="0.25">
      <c r="A10" s="274"/>
      <c r="B10" s="276"/>
      <c r="C10" s="278"/>
      <c r="D10" s="280"/>
      <c r="E10" s="282"/>
      <c r="F10" s="284"/>
      <c r="G10" s="86" t="s">
        <v>75</v>
      </c>
      <c r="H10" s="286"/>
      <c r="I10" s="84">
        <v>1.4</v>
      </c>
      <c r="J10" s="56">
        <v>1.2</v>
      </c>
      <c r="K10" s="56">
        <v>1.2</v>
      </c>
      <c r="L10" s="87">
        <v>1.2</v>
      </c>
      <c r="M10" s="286"/>
      <c r="N10" s="31">
        <f t="shared" si="0"/>
        <v>2660</v>
      </c>
      <c r="O10" s="31">
        <f t="shared" si="0"/>
        <v>2280</v>
      </c>
      <c r="P10" s="31">
        <f t="shared" si="0"/>
        <v>2280</v>
      </c>
      <c r="Q10" s="197">
        <f t="shared" si="0"/>
        <v>2280</v>
      </c>
      <c r="R10" s="180"/>
      <c r="S10" s="181"/>
      <c r="T10" s="181"/>
      <c r="U10" s="182"/>
      <c r="V10" s="202"/>
      <c r="W10" s="188"/>
      <c r="X10" s="254"/>
      <c r="Y10" s="253"/>
      <c r="AA10" s="66" t="s">
        <v>111</v>
      </c>
      <c r="AB10" s="67" t="s">
        <v>110</v>
      </c>
    </row>
    <row r="11" spans="1:37" x14ac:dyDescent="0.25">
      <c r="A11" s="38" t="s">
        <v>41</v>
      </c>
      <c r="B11" s="68" t="s">
        <v>77</v>
      </c>
      <c r="C11" s="33" t="s">
        <v>95</v>
      </c>
      <c r="D11" s="69"/>
      <c r="E11" s="70"/>
      <c r="F11" s="78"/>
      <c r="G11" s="71"/>
      <c r="H11" s="79"/>
      <c r="I11" s="272">
        <v>1900</v>
      </c>
      <c r="J11" s="272"/>
      <c r="K11" s="272"/>
      <c r="L11" s="272"/>
      <c r="M11" s="88"/>
      <c r="N11" s="89"/>
      <c r="O11" s="26"/>
      <c r="P11" s="26"/>
      <c r="Q11" s="196"/>
      <c r="R11" s="189"/>
      <c r="S11" s="189"/>
      <c r="T11" s="189"/>
      <c r="U11" s="190"/>
      <c r="V11" s="205"/>
      <c r="W11" s="200"/>
      <c r="X11" s="254"/>
      <c r="Y11" s="253"/>
      <c r="AA11" s="246"/>
      <c r="AB11" s="246"/>
      <c r="AC11" s="246"/>
      <c r="AD11" s="246"/>
      <c r="AE11" s="246"/>
      <c r="AF11" s="246"/>
      <c r="AG11" s="246"/>
      <c r="AH11" s="246"/>
      <c r="AI11" s="246"/>
      <c r="AJ11" s="246"/>
      <c r="AK11" s="246"/>
    </row>
    <row r="12" spans="1:37" x14ac:dyDescent="0.25">
      <c r="A12" s="39"/>
      <c r="B12" s="40"/>
      <c r="C12" s="34" t="s">
        <v>48</v>
      </c>
      <c r="D12" s="90"/>
      <c r="E12" s="91"/>
      <c r="F12" s="92"/>
      <c r="G12" s="93"/>
      <c r="H12" s="94"/>
      <c r="I12" s="32"/>
      <c r="J12" s="27"/>
      <c r="K12" s="27"/>
      <c r="L12" s="27"/>
      <c r="M12" s="94"/>
      <c r="N12" s="30"/>
      <c r="O12" s="30"/>
      <c r="P12" s="30"/>
      <c r="Q12" s="28"/>
      <c r="R12" s="95"/>
      <c r="S12" s="30">
        <f>SUMIF($D5:$D134,"Увеличение дохода",S5:S134)</f>
        <v>0</v>
      </c>
      <c r="T12" s="30">
        <f>SUMIF($D5:$D134,"Увеличение дохода",T5:T134)</f>
        <v>0</v>
      </c>
      <c r="U12" s="30">
        <f>SUMIF($D5:$D134,"Увеличение дохода",U5:U134)</f>
        <v>0</v>
      </c>
      <c r="V12" s="30">
        <f>SUMIF($D5:$D134,"Увеличение дохода",V5:V134)</f>
        <v>0</v>
      </c>
      <c r="W12" s="96">
        <f>SUM(S12:V12)</f>
        <v>0</v>
      </c>
      <c r="X12" s="254"/>
      <c r="Y12" s="253"/>
      <c r="AA12" s="246"/>
      <c r="AB12" s="246"/>
      <c r="AC12" s="246"/>
      <c r="AD12" s="246"/>
      <c r="AE12" s="246"/>
      <c r="AF12" s="246"/>
      <c r="AG12" s="246"/>
      <c r="AH12" s="246"/>
      <c r="AI12" s="246"/>
      <c r="AJ12" s="246"/>
      <c r="AK12" s="246"/>
    </row>
    <row r="13" spans="1:37" x14ac:dyDescent="0.25">
      <c r="A13" s="39"/>
      <c r="B13" s="40"/>
      <c r="C13" s="34" t="s">
        <v>45</v>
      </c>
      <c r="D13" s="90"/>
      <c r="E13" s="91"/>
      <c r="F13" s="92"/>
      <c r="G13" s="93"/>
      <c r="H13" s="94"/>
      <c r="I13" s="32"/>
      <c r="J13" s="27"/>
      <c r="K13" s="27"/>
      <c r="L13" s="27"/>
      <c r="M13" s="94"/>
      <c r="N13" s="30"/>
      <c r="O13" s="30"/>
      <c r="P13" s="30"/>
      <c r="Q13" s="28"/>
      <c r="R13" s="95"/>
      <c r="S13" s="30">
        <f>SUMIF($D5:$D134,"Оптимизация затрат",S5:S134)</f>
        <v>190</v>
      </c>
      <c r="T13" s="30">
        <f>SUMIF($D5:$D134,"Оптимизация затрат",T5:T134)</f>
        <v>4516.6926600000006</v>
      </c>
      <c r="U13" s="30">
        <f>SUMIF($D5:$D134,"Оптимизация затрат",U5:U134)</f>
        <v>7970.0487375000012</v>
      </c>
      <c r="V13" s="30">
        <f>SUMIF($D5:$D134,"Оптимизация затрат",V5:V134)</f>
        <v>7970.0487375000012</v>
      </c>
      <c r="W13" s="96">
        <f>SUM(S13:V13)</f>
        <v>20646.790135000003</v>
      </c>
      <c r="X13" s="254"/>
      <c r="Y13" s="253"/>
    </row>
    <row r="14" spans="1:37" x14ac:dyDescent="0.25">
      <c r="A14" s="39"/>
      <c r="B14" s="40"/>
      <c r="C14" s="34" t="s">
        <v>46</v>
      </c>
      <c r="D14" s="90"/>
      <c r="E14" s="97"/>
      <c r="F14" s="98"/>
      <c r="G14" s="99"/>
      <c r="H14" s="94"/>
      <c r="I14" s="32"/>
      <c r="J14" s="27"/>
      <c r="K14" s="27"/>
      <c r="L14" s="27"/>
      <c r="M14" s="94"/>
      <c r="N14" s="30"/>
      <c r="O14" s="30"/>
      <c r="P14" s="30"/>
      <c r="Q14" s="30"/>
      <c r="R14" s="95"/>
      <c r="S14" s="30">
        <f>SUMIF($D5:$D134,"Снижение риска",S5:S134)</f>
        <v>0</v>
      </c>
      <c r="T14" s="30">
        <f>SUMIF($D5:$D134,"Снижение риска",T5:T134)</f>
        <v>0</v>
      </c>
      <c r="U14" s="30">
        <f>SUMIF($D5:$D134,"Снижение риска",U5:U134)</f>
        <v>0</v>
      </c>
      <c r="V14" s="30">
        <f>SUMIF($D5:$D134,"Снижение риска",V5:V134)</f>
        <v>0</v>
      </c>
      <c r="W14" s="96">
        <f>SUM(S14:V14)</f>
        <v>0</v>
      </c>
      <c r="X14" s="257"/>
      <c r="Y14" s="249"/>
    </row>
    <row r="15" spans="1:37" x14ac:dyDescent="0.25">
      <c r="A15" s="132"/>
      <c r="B15" s="132"/>
      <c r="M15" s="137"/>
      <c r="X15" s="258"/>
      <c r="Y15" s="258"/>
    </row>
    <row r="16" spans="1:37" x14ac:dyDescent="0.25">
      <c r="A16" s="100"/>
      <c r="B16" s="101"/>
      <c r="C16" s="102" t="s">
        <v>42</v>
      </c>
      <c r="D16" s="103"/>
      <c r="E16" s="104"/>
      <c r="F16" s="27"/>
      <c r="G16" s="105"/>
      <c r="H16" s="104"/>
      <c r="I16" s="27"/>
      <c r="J16" s="27"/>
      <c r="K16" s="27"/>
      <c r="L16" s="27"/>
      <c r="M16" s="94"/>
      <c r="N16" s="44"/>
      <c r="O16" s="41"/>
      <c r="P16" s="41"/>
      <c r="Q16" s="41"/>
      <c r="R16" s="106"/>
      <c r="S16" s="107">
        <f>SUM(S13:S14)</f>
        <v>190</v>
      </c>
      <c r="T16" s="107">
        <f>SUM(T13:T14)</f>
        <v>4516.6926600000006</v>
      </c>
      <c r="U16" s="107">
        <f>SUM(U13:U14)</f>
        <v>7970.0487375000012</v>
      </c>
      <c r="V16" s="107">
        <f>SUM(V13:V14)</f>
        <v>7970.0487375000012</v>
      </c>
      <c r="W16" s="108">
        <f>SUM(S16:V16)</f>
        <v>20646.790135000003</v>
      </c>
      <c r="X16" s="259"/>
      <c r="Y16" s="260"/>
    </row>
    <row r="17" spans="2:22" x14ac:dyDescent="0.25">
      <c r="U17" s="135"/>
      <c r="V17" s="5"/>
    </row>
    <row r="19" spans="2:22" ht="15.75" x14ac:dyDescent="0.25">
      <c r="B19" s="136" t="s">
        <v>84</v>
      </c>
      <c r="H19" s="137"/>
    </row>
    <row r="20" spans="2:22" x14ac:dyDescent="0.25">
      <c r="B20" s="138" t="s">
        <v>85</v>
      </c>
      <c r="P20" s="137"/>
      <c r="Q20" s="137"/>
      <c r="R20" s="134"/>
    </row>
    <row r="21" spans="2:22" x14ac:dyDescent="0.25">
      <c r="B21" s="138" t="s">
        <v>86</v>
      </c>
    </row>
    <row r="22" spans="2:22" x14ac:dyDescent="0.25">
      <c r="B22" s="138" t="s">
        <v>87</v>
      </c>
    </row>
    <row r="23" spans="2:22" x14ac:dyDescent="0.25">
      <c r="B23" s="138" t="s">
        <v>88</v>
      </c>
    </row>
  </sheetData>
  <mergeCells count="32">
    <mergeCell ref="AF3:AG3"/>
    <mergeCell ref="A3:A4"/>
    <mergeCell ref="B3:B4"/>
    <mergeCell ref="D3:D4"/>
    <mergeCell ref="E3:E4"/>
    <mergeCell ref="F3:F4"/>
    <mergeCell ref="G3:G4"/>
    <mergeCell ref="X3:Y4"/>
    <mergeCell ref="M9:M10"/>
    <mergeCell ref="AH3:AI3"/>
    <mergeCell ref="AJ3:AK3"/>
    <mergeCell ref="A5:A6"/>
    <mergeCell ref="B5:B6"/>
    <mergeCell ref="C5:C6"/>
    <mergeCell ref="D5:D6"/>
    <mergeCell ref="E5:E6"/>
    <mergeCell ref="F5:F6"/>
    <mergeCell ref="H5:H6"/>
    <mergeCell ref="M5:M6"/>
    <mergeCell ref="H3:L3"/>
    <mergeCell ref="M3:Q3"/>
    <mergeCell ref="R3:V3"/>
    <mergeCell ref="W3:W4"/>
    <mergeCell ref="AD3:AE3"/>
    <mergeCell ref="I11:L11"/>
    <mergeCell ref="A9:A10"/>
    <mergeCell ref="B9:B10"/>
    <mergeCell ref="C9:C10"/>
    <mergeCell ref="D9:D10"/>
    <mergeCell ref="E9:E10"/>
    <mergeCell ref="F9:F10"/>
    <mergeCell ref="H9:H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59999389629810485"/>
    <pageSetUpPr fitToPage="1"/>
  </sheetPr>
  <dimension ref="A1:S70"/>
  <sheetViews>
    <sheetView showGridLines="0" topLeftCell="A10" zoomScale="70" zoomScaleNormal="70" workbookViewId="0">
      <selection activeCell="D15" sqref="D15"/>
    </sheetView>
  </sheetViews>
  <sheetFormatPr defaultRowHeight="15" x14ac:dyDescent="0.25"/>
  <cols>
    <col min="1" max="1" width="42" customWidth="1"/>
    <col min="2" max="2" width="16.7109375" bestFit="1" customWidth="1"/>
    <col min="3" max="3" width="17.140625" bestFit="1" customWidth="1"/>
    <col min="4" max="4" width="19.5703125" bestFit="1" customWidth="1"/>
    <col min="5" max="5" width="18.140625" bestFit="1" customWidth="1"/>
    <col min="6" max="6" width="15.42578125" bestFit="1" customWidth="1"/>
    <col min="7" max="7" width="19.42578125" customWidth="1"/>
    <col min="8" max="8" width="1.7109375" customWidth="1"/>
    <col min="11" max="11" width="64.28515625" customWidth="1"/>
  </cols>
  <sheetData>
    <row r="1" spans="1:9" x14ac:dyDescent="0.25">
      <c r="A1" s="152" t="s">
        <v>143</v>
      </c>
      <c r="B1" s="320" t="s">
        <v>144</v>
      </c>
      <c r="C1" s="320"/>
    </row>
    <row r="2" spans="1:9" x14ac:dyDescent="0.25">
      <c r="A2" s="152" t="s">
        <v>100</v>
      </c>
      <c r="B2" s="320" t="s">
        <v>144</v>
      </c>
      <c r="C2" s="320"/>
    </row>
    <row r="3" spans="1:9" x14ac:dyDescent="0.25">
      <c r="A3" s="152" t="s">
        <v>101</v>
      </c>
      <c r="B3" s="320" t="s">
        <v>144</v>
      </c>
      <c r="C3" s="320"/>
    </row>
    <row r="4" spans="1:9" x14ac:dyDescent="0.25">
      <c r="A4" s="152" t="s">
        <v>102</v>
      </c>
      <c r="B4" s="320" t="s">
        <v>145</v>
      </c>
      <c r="C4" s="320"/>
      <c r="E4" s="140"/>
      <c r="F4" s="1"/>
      <c r="G4" s="3"/>
    </row>
    <row r="5" spans="1:9" x14ac:dyDescent="0.25">
      <c r="A5" s="152" t="s">
        <v>146</v>
      </c>
      <c r="B5" s="320" t="s">
        <v>144</v>
      </c>
      <c r="C5" s="320"/>
      <c r="D5" s="9"/>
      <c r="E5" s="140"/>
      <c r="F5" s="1"/>
      <c r="G5" s="9"/>
      <c r="H5" s="9"/>
    </row>
    <row r="6" spans="1:9" x14ac:dyDescent="0.25">
      <c r="A6" s="152" t="s">
        <v>147</v>
      </c>
      <c r="B6" s="320" t="s">
        <v>144</v>
      </c>
      <c r="C6" s="320"/>
      <c r="D6" s="9"/>
      <c r="E6" s="140"/>
      <c r="F6" s="1"/>
      <c r="G6" s="9"/>
      <c r="H6" s="9"/>
    </row>
    <row r="7" spans="1:9" s="3" customFormat="1" x14ac:dyDescent="0.25">
      <c r="A7" s="141"/>
      <c r="D7" s="43"/>
      <c r="E7" s="43"/>
      <c r="F7" s="43"/>
      <c r="G7" s="43"/>
      <c r="H7" s="43"/>
    </row>
    <row r="8" spans="1:9" ht="25.5" customHeight="1" x14ac:dyDescent="0.25">
      <c r="A8" s="174" t="s">
        <v>51</v>
      </c>
      <c r="B8" s="175">
        <f>SUM(B36:F36)</f>
        <v>5660.5710284539309</v>
      </c>
      <c r="D8" s="319" t="s">
        <v>158</v>
      </c>
      <c r="E8" s="319"/>
      <c r="F8" s="319"/>
      <c r="G8" s="319"/>
      <c r="H8" s="319"/>
    </row>
    <row r="9" spans="1:9" ht="15" customHeight="1" x14ac:dyDescent="0.25">
      <c r="A9" s="174" t="s">
        <v>52</v>
      </c>
      <c r="B9" s="163">
        <f>1+B8/B11</f>
        <v>1.9086964761428136</v>
      </c>
      <c r="D9" s="319"/>
      <c r="E9" s="319"/>
      <c r="F9" s="319"/>
      <c r="G9" s="319"/>
      <c r="H9" s="319"/>
    </row>
    <row r="10" spans="1:9" ht="30.75" customHeight="1" x14ac:dyDescent="0.25">
      <c r="A10" s="174" t="s">
        <v>149</v>
      </c>
      <c r="B10" s="267">
        <f>(SUMIF(B32:S32,"&gt;0",B37:S37)/SUMIF(B32:S32,"&lt;0",B37:S37))^(1/MAX($B$17:$S$17))-1</f>
        <v>0.44754102796264372</v>
      </c>
      <c r="C10" s="269"/>
      <c r="D10" s="319"/>
      <c r="E10" s="319"/>
      <c r="F10" s="319"/>
      <c r="G10" s="319"/>
      <c r="H10" s="319"/>
      <c r="I10" s="268"/>
    </row>
    <row r="11" spans="1:9" ht="25.5" customHeight="1" x14ac:dyDescent="0.25">
      <c r="A11" s="174" t="s">
        <v>27</v>
      </c>
      <c r="B11" s="175">
        <f>SUM(B35:F35)</f>
        <v>6229.330889981682</v>
      </c>
      <c r="D11" s="319"/>
      <c r="E11" s="319"/>
      <c r="F11" s="319"/>
      <c r="G11" s="319"/>
      <c r="H11" s="319"/>
    </row>
    <row r="12" spans="1:9" ht="25.5" customHeight="1" x14ac:dyDescent="0.25">
      <c r="A12" s="174" t="s">
        <v>12</v>
      </c>
      <c r="B12" s="163">
        <f>IF(B8&lt;0,"не окупается",SUM(B41:F41))</f>
        <v>3.7097676840181135</v>
      </c>
      <c r="D12" s="319"/>
      <c r="E12" s="319"/>
      <c r="F12" s="319"/>
      <c r="G12" s="319"/>
      <c r="H12" s="319"/>
    </row>
    <row r="13" spans="1:9" x14ac:dyDescent="0.25">
      <c r="D13" s="42"/>
      <c r="E13" s="42"/>
      <c r="F13" s="42"/>
      <c r="G13" s="42"/>
      <c r="H13" s="42"/>
    </row>
    <row r="14" spans="1:9" x14ac:dyDescent="0.25">
      <c r="A14" s="150" t="s">
        <v>150</v>
      </c>
      <c r="B14" s="151">
        <v>0.14000000000000001</v>
      </c>
      <c r="D14" s="9"/>
      <c r="E14" s="9"/>
      <c r="F14" s="9"/>
      <c r="G14" s="9"/>
      <c r="H14" s="9"/>
    </row>
    <row r="15" spans="1:9" ht="15" customHeight="1" x14ac:dyDescent="0.25">
      <c r="A15" s="150" t="s">
        <v>9</v>
      </c>
      <c r="B15" s="262">
        <v>0.18</v>
      </c>
      <c r="C15" s="262">
        <v>0.18</v>
      </c>
      <c r="D15" s="262">
        <v>0.18</v>
      </c>
      <c r="E15" s="151">
        <v>0.14000000000000001</v>
      </c>
      <c r="F15" s="151">
        <v>0.14000000000000001</v>
      </c>
      <c r="G15" s="261"/>
      <c r="H15" s="261"/>
    </row>
    <row r="16" spans="1:9" ht="35.25" customHeight="1" x14ac:dyDescent="0.25">
      <c r="A16" s="238" t="s">
        <v>25</v>
      </c>
      <c r="B16" s="238">
        <v>2021</v>
      </c>
      <c r="C16" s="238">
        <v>2022</v>
      </c>
      <c r="D16" s="263">
        <v>2023</v>
      </c>
      <c r="E16" s="263">
        <v>2024</v>
      </c>
      <c r="F16" s="263">
        <v>2025</v>
      </c>
      <c r="G16" s="316" t="s">
        <v>28</v>
      </c>
      <c r="H16" s="10"/>
    </row>
    <row r="17" spans="1:8" ht="12" customHeight="1" x14ac:dyDescent="0.25">
      <c r="A17" s="169" t="s">
        <v>26</v>
      </c>
      <c r="B17" s="169">
        <v>0</v>
      </c>
      <c r="C17" s="169">
        <v>1</v>
      </c>
      <c r="D17" s="169">
        <v>2</v>
      </c>
      <c r="E17" s="169">
        <v>3</v>
      </c>
      <c r="F17" s="169">
        <v>4</v>
      </c>
      <c r="G17" s="316"/>
      <c r="H17" s="10"/>
    </row>
    <row r="18" spans="1:8" x14ac:dyDescent="0.25">
      <c r="A18" s="317" t="s">
        <v>11</v>
      </c>
      <c r="B18" s="318"/>
      <c r="C18" s="318"/>
      <c r="D18" s="318"/>
      <c r="E18" s="318"/>
      <c r="F18" s="318"/>
      <c r="G18" s="318"/>
      <c r="H18" s="10"/>
    </row>
    <row r="19" spans="1:8" x14ac:dyDescent="0.25">
      <c r="A19" s="170" t="s">
        <v>0</v>
      </c>
      <c r="B19" s="168">
        <f>'TCO (Проект 1)'!C15</f>
        <v>0</v>
      </c>
      <c r="C19" s="168">
        <f>'TCO (Проект 1)'!D15</f>
        <v>1750</v>
      </c>
      <c r="D19" s="168">
        <f>'TCO (Проект 1)'!E15</f>
        <v>5150</v>
      </c>
      <c r="E19" s="168">
        <f>'TCO (Проект 1)'!F15</f>
        <v>0</v>
      </c>
      <c r="F19" s="168">
        <f>'TCO (Проект 1)'!G15</f>
        <v>0</v>
      </c>
      <c r="G19" s="157"/>
      <c r="H19" s="11"/>
    </row>
    <row r="20" spans="1:8" x14ac:dyDescent="0.25">
      <c r="A20" s="171" t="s">
        <v>1</v>
      </c>
      <c r="B20" s="168">
        <f>'TCO (Проект 1)'!C26</f>
        <v>1280</v>
      </c>
      <c r="C20" s="168">
        <f>'TCO (Проект 1)'!D26</f>
        <v>550</v>
      </c>
      <c r="D20" s="168">
        <f>'TCO (Проект 1)'!E26</f>
        <v>300</v>
      </c>
      <c r="E20" s="168">
        <f>'TCO (Проект 1)'!F26</f>
        <v>300</v>
      </c>
      <c r="F20" s="168">
        <f>'TCO (Проект 1)'!G26</f>
        <v>300</v>
      </c>
      <c r="G20" s="157"/>
      <c r="H20" s="11"/>
    </row>
    <row r="21" spans="1:8" x14ac:dyDescent="0.25">
      <c r="A21" s="171" t="s">
        <v>2</v>
      </c>
      <c r="B21" s="168">
        <f>'TCO (Проект 1)'!C28</f>
        <v>1280</v>
      </c>
      <c r="C21" s="168">
        <f>'TCO (Проект 1)'!D28</f>
        <v>2300</v>
      </c>
      <c r="D21" s="168">
        <f>'TCO (Проект 1)'!E28</f>
        <v>5450</v>
      </c>
      <c r="E21" s="168">
        <f>'TCO (Проект 1)'!F28</f>
        <v>300</v>
      </c>
      <c r="F21" s="168">
        <f>'TCO (Проект 1)'!G28</f>
        <v>300</v>
      </c>
      <c r="G21" s="157"/>
      <c r="H21" s="11"/>
    </row>
    <row r="22" spans="1:8" s="6" customFormat="1" x14ac:dyDescent="0.25">
      <c r="A22" s="172" t="s">
        <v>24</v>
      </c>
      <c r="B22" s="158">
        <f>B21*B30</f>
        <v>1178.3355109098541</v>
      </c>
      <c r="C22" s="158">
        <f>C21*C30</f>
        <v>1794.3403569204611</v>
      </c>
      <c r="D22" s="158">
        <f>D21*D30</f>
        <v>3603.2258456951045</v>
      </c>
      <c r="E22" s="158">
        <f>E21*E30</f>
        <v>189.65062358897748</v>
      </c>
      <c r="F22" s="158">
        <f>F21*F30</f>
        <v>166.360196130682</v>
      </c>
      <c r="G22" s="158"/>
      <c r="H22" s="12"/>
    </row>
    <row r="23" spans="1:8" x14ac:dyDescent="0.25">
      <c r="A23" s="2"/>
      <c r="B23" s="4"/>
      <c r="C23" s="4"/>
      <c r="D23" s="4"/>
      <c r="E23" s="4"/>
      <c r="F23" s="4"/>
      <c r="G23" s="4"/>
      <c r="H23" s="11"/>
    </row>
    <row r="24" spans="1:8" x14ac:dyDescent="0.25">
      <c r="A24" s="317" t="s">
        <v>10</v>
      </c>
      <c r="B24" s="318"/>
      <c r="C24" s="318"/>
      <c r="D24" s="318"/>
      <c r="E24" s="318"/>
      <c r="F24" s="318"/>
      <c r="G24" s="318"/>
      <c r="H24" s="8"/>
    </row>
    <row r="25" spans="1:8" x14ac:dyDescent="0.25">
      <c r="A25" s="170" t="s">
        <v>54</v>
      </c>
      <c r="B25" s="168"/>
      <c r="C25" s="168">
        <f>'Дерево КПЭ (Проект 1)'!S12</f>
        <v>0</v>
      </c>
      <c r="D25" s="168">
        <f>'Дерево КПЭ (Проект 1)'!T12</f>
        <v>0</v>
      </c>
      <c r="E25" s="168">
        <f>'Дерево КПЭ (Проект 1)'!U12</f>
        <v>0</v>
      </c>
      <c r="F25" s="168">
        <f>'Дерево КПЭ (Проект 1)'!V12</f>
        <v>0</v>
      </c>
      <c r="G25" s="157"/>
      <c r="H25" s="11"/>
    </row>
    <row r="26" spans="1:8" x14ac:dyDescent="0.25">
      <c r="A26" s="171" t="s">
        <v>44</v>
      </c>
      <c r="B26" s="168"/>
      <c r="C26" s="168">
        <f>'Дерево КПЭ (Проект 1)'!S13</f>
        <v>190</v>
      </c>
      <c r="D26" s="168">
        <f>'Дерево КПЭ (Проект 1)'!T13</f>
        <v>4516.6926600000006</v>
      </c>
      <c r="E26" s="168">
        <f>'Дерево КПЭ (Проект 1)'!U13</f>
        <v>7970.0487375000012</v>
      </c>
      <c r="F26" s="168">
        <f>'Дерево КПЭ (Проект 1)'!V13</f>
        <v>7970.0487375000012</v>
      </c>
      <c r="G26" s="157"/>
      <c r="H26" s="11"/>
    </row>
    <row r="27" spans="1:8" x14ac:dyDescent="0.25">
      <c r="A27" s="171" t="s">
        <v>98</v>
      </c>
      <c r="B27" s="168"/>
      <c r="C27" s="168">
        <f>'Дерево КПЭ (Проект 1)'!S14</f>
        <v>0</v>
      </c>
      <c r="D27" s="168">
        <f>'Дерево КПЭ (Проект 1)'!T14</f>
        <v>0</v>
      </c>
      <c r="E27" s="168">
        <f>'Дерево КПЭ (Проект 1)'!U14</f>
        <v>0</v>
      </c>
      <c r="F27" s="168">
        <f>'Дерево КПЭ (Проект 1)'!V14</f>
        <v>0</v>
      </c>
      <c r="G27" s="157"/>
      <c r="H27" s="11"/>
    </row>
    <row r="28" spans="1:8" x14ac:dyDescent="0.25">
      <c r="A28" s="173" t="s">
        <v>3</v>
      </c>
      <c r="B28" s="157">
        <f>SUM(B25:B27)</f>
        <v>0</v>
      </c>
      <c r="C28" s="157">
        <f>SUM(C25:C27)</f>
        <v>190</v>
      </c>
      <c r="D28" s="157">
        <f t="shared" ref="D28:F28" si="0">SUM(D25:D27)</f>
        <v>4516.6926600000006</v>
      </c>
      <c r="E28" s="157">
        <f t="shared" si="0"/>
        <v>7970.0487375000012</v>
      </c>
      <c r="F28" s="157">
        <f t="shared" si="0"/>
        <v>7970.0487375000012</v>
      </c>
      <c r="G28" s="157"/>
      <c r="H28" s="11"/>
    </row>
    <row r="29" spans="1:8" x14ac:dyDescent="0.25">
      <c r="H29" s="9"/>
    </row>
    <row r="30" spans="1:8" x14ac:dyDescent="0.25">
      <c r="A30" s="166" t="s">
        <v>4</v>
      </c>
      <c r="B30" s="167">
        <f>1/(1+B15)^(B17+1/2)</f>
        <v>0.92057461789832351</v>
      </c>
      <c r="C30" s="167">
        <f t="shared" ref="C30:E30" si="1">1/(1+C15)^(C17+1/2)</f>
        <v>0.7801479812697657</v>
      </c>
      <c r="D30" s="167">
        <f t="shared" si="1"/>
        <v>0.66114235700827606</v>
      </c>
      <c r="E30" s="167">
        <f t="shared" si="1"/>
        <v>0.63216874529659162</v>
      </c>
      <c r="F30" s="167">
        <f>1/(1+F15)^(F17+1/2)</f>
        <v>0.55453398710227331</v>
      </c>
      <c r="G30" s="167"/>
      <c r="H30" s="13"/>
    </row>
    <row r="31" spans="1:8" x14ac:dyDescent="0.25">
      <c r="H31" s="9"/>
    </row>
    <row r="32" spans="1:8" x14ac:dyDescent="0.25">
      <c r="A32" s="170" t="s">
        <v>5</v>
      </c>
      <c r="B32" s="157">
        <f>-B21+B28</f>
        <v>-1280</v>
      </c>
      <c r="C32" s="157">
        <f t="shared" ref="C32:F32" si="2">-C21+C28</f>
        <v>-2110</v>
      </c>
      <c r="D32" s="157">
        <f>-D21+D28</f>
        <v>-933.30733999999939</v>
      </c>
      <c r="E32" s="157">
        <f t="shared" si="2"/>
        <v>7670.0487375000012</v>
      </c>
      <c r="F32" s="157">
        <f t="shared" si="2"/>
        <v>7670.0487375000012</v>
      </c>
      <c r="G32" s="157"/>
      <c r="H32" s="11"/>
    </row>
    <row r="33" spans="1:19" x14ac:dyDescent="0.25">
      <c r="A33" s="171" t="s">
        <v>19</v>
      </c>
      <c r="B33" s="157">
        <f>-B20+B28</f>
        <v>-1280</v>
      </c>
      <c r="C33" s="157">
        <f>-C20+C28</f>
        <v>-360</v>
      </c>
      <c r="D33" s="157">
        <f t="shared" ref="D33:E33" si="3">-D20+D28</f>
        <v>4216.6926600000006</v>
      </c>
      <c r="E33" s="157">
        <f t="shared" si="3"/>
        <v>7670.0487375000012</v>
      </c>
      <c r="F33" s="157">
        <f>-F20+F28</f>
        <v>7670.0487375000012</v>
      </c>
      <c r="G33" s="157"/>
      <c r="H33" s="11"/>
    </row>
    <row r="34" spans="1:19" s="6" customFormat="1" x14ac:dyDescent="0.25">
      <c r="A34" s="171" t="s">
        <v>20</v>
      </c>
      <c r="B34" s="158">
        <f>B33</f>
        <v>-1280</v>
      </c>
      <c r="C34" s="158">
        <f>B34+C33</f>
        <v>-1640</v>
      </c>
      <c r="D34" s="158">
        <f>C34+D33</f>
        <v>2576.6926600000006</v>
      </c>
      <c r="E34" s="159">
        <f>D34+E33</f>
        <v>10246.741397500002</v>
      </c>
      <c r="F34" s="159">
        <f>E34+F33</f>
        <v>17916.790135000003</v>
      </c>
      <c r="G34" s="160">
        <f>IF(MIN(B34:F34)&lt;0,MATCH(MIN(B34:F34),B34:F34,0),0)</f>
        <v>2</v>
      </c>
      <c r="H34" s="14"/>
    </row>
    <row r="35" spans="1:19" ht="18.75" customHeight="1" x14ac:dyDescent="0.25">
      <c r="A35" s="171" t="s">
        <v>21</v>
      </c>
      <c r="B35" s="158">
        <f>IF(MATCH(B34,$B$34:$F$34,0)&lt;=$G$34,(B19+ABS(B33))*B30,B19*B30)</f>
        <v>1178.3355109098541</v>
      </c>
      <c r="C35" s="158">
        <f>IF(MATCH(C34,$B$34:$F$34,0)&lt;=$G$34,(C19+ABS(C33))*C30,C19*C30)</f>
        <v>1646.1122404792056</v>
      </c>
      <c r="D35" s="158">
        <f t="shared" ref="D35:F35" si="4">IF(MATCH(D34,$B$34:$F$34,0)&lt;=$G$34,(D19+ABS(D33))*D30,D19*D30)</f>
        <v>3404.8831385926219</v>
      </c>
      <c r="E35" s="158">
        <f t="shared" si="4"/>
        <v>0</v>
      </c>
      <c r="F35" s="158">
        <f t="shared" si="4"/>
        <v>0</v>
      </c>
      <c r="G35" s="161"/>
      <c r="H35" s="15"/>
    </row>
    <row r="36" spans="1:19" ht="18" customHeight="1" x14ac:dyDescent="0.25">
      <c r="A36" s="171" t="s">
        <v>6</v>
      </c>
      <c r="B36" s="158">
        <f>B30*B32</f>
        <v>-1178.3355109098541</v>
      </c>
      <c r="C36" s="158">
        <f>C30*C32</f>
        <v>-1646.1122404792056</v>
      </c>
      <c r="D36" s="158">
        <f t="shared" ref="D36:F36" si="5">D30*D32</f>
        <v>-617.04901458072413</v>
      </c>
      <c r="E36" s="158">
        <f t="shared" si="5"/>
        <v>4848.765086749082</v>
      </c>
      <c r="F36" s="158">
        <f t="shared" si="5"/>
        <v>4253.302707674633</v>
      </c>
      <c r="G36" s="158"/>
      <c r="H36" s="12"/>
    </row>
    <row r="37" spans="1:19" ht="18" hidden="1" customHeight="1" x14ac:dyDescent="0.25">
      <c r="A37" s="265" t="s">
        <v>151</v>
      </c>
      <c r="B37" s="266">
        <f>IF(B32&gt;0,B32*(1+$B$14)^(MAX($B$17:$S$17)-B17),-B32/(1+B15)^(B17))</f>
        <v>1280</v>
      </c>
      <c r="C37" s="266">
        <f t="shared" ref="C37:S37" si="6">IF(C32&gt;0,C32*(1+$B$14)^(MAX($B$17:$S$17)-C17),-C32/(1+C15)^(C17))</f>
        <v>1788.1355932203392</v>
      </c>
      <c r="D37" s="266">
        <f t="shared" si="6"/>
        <v>670.28679977018066</v>
      </c>
      <c r="E37" s="266">
        <f>IF(E32&gt;0,E32*(1+$B$14)^(MAX($B$17:$S$17)-E17),-E32/(1+E15)^(E17))</f>
        <v>8743.855560750002</v>
      </c>
      <c r="F37" s="266">
        <f t="shared" si="6"/>
        <v>7670.0487375000012</v>
      </c>
      <c r="G37" s="266">
        <f t="shared" si="6"/>
        <v>0</v>
      </c>
      <c r="H37" s="266">
        <f t="shared" si="6"/>
        <v>0</v>
      </c>
      <c r="I37" s="266">
        <f t="shared" si="6"/>
        <v>0</v>
      </c>
      <c r="J37" s="266">
        <f t="shared" si="6"/>
        <v>0</v>
      </c>
      <c r="K37" s="266">
        <f t="shared" si="6"/>
        <v>0</v>
      </c>
      <c r="L37" s="266">
        <f t="shared" si="6"/>
        <v>0</v>
      </c>
      <c r="M37" s="266">
        <f t="shared" si="6"/>
        <v>0</v>
      </c>
      <c r="N37" s="266">
        <f t="shared" si="6"/>
        <v>0</v>
      </c>
      <c r="O37" s="266">
        <f t="shared" si="6"/>
        <v>0</v>
      </c>
      <c r="P37" s="266">
        <f t="shared" si="6"/>
        <v>0</v>
      </c>
      <c r="Q37" s="266">
        <f t="shared" si="6"/>
        <v>0</v>
      </c>
      <c r="R37" s="266">
        <f t="shared" si="6"/>
        <v>0</v>
      </c>
      <c r="S37" s="266">
        <f t="shared" si="6"/>
        <v>0</v>
      </c>
    </row>
    <row r="38" spans="1:19" x14ac:dyDescent="0.25">
      <c r="A38" s="171" t="s">
        <v>7</v>
      </c>
      <c r="B38" s="157">
        <f>B32</f>
        <v>-1280</v>
      </c>
      <c r="C38" s="157">
        <f>B38+C32</f>
        <v>-3390</v>
      </c>
      <c r="D38" s="157">
        <f>C38+D32</f>
        <v>-4323.3073399999994</v>
      </c>
      <c r="E38" s="157">
        <f>D38+E32</f>
        <v>3346.7413975000018</v>
      </c>
      <c r="F38" s="157">
        <f>E38+F32</f>
        <v>11016.790135000003</v>
      </c>
      <c r="G38" s="157"/>
      <c r="H38" s="11"/>
    </row>
    <row r="39" spans="1:19" x14ac:dyDescent="0.25">
      <c r="A39" s="171" t="s">
        <v>22</v>
      </c>
      <c r="B39" s="162">
        <f>IF(B38&lt;0,1,B21/B28)</f>
        <v>1</v>
      </c>
      <c r="C39" s="162">
        <f>IF(C38&lt;0,1,IF(B39&lt;1,0,ABS(B38)/(ABS(B38)+C38)))</f>
        <v>1</v>
      </c>
      <c r="D39" s="162">
        <f>IF(D38&lt;0,1,IF(C39&lt;1,0,ABS(C38)/(ABS(C38)+D38)))</f>
        <v>1</v>
      </c>
      <c r="E39" s="162">
        <f>IF(E38&lt;0,1,IF(D39&lt;1,0,ABS(D38)/(ABS(D38)+E38)))</f>
        <v>0.56366099981382267</v>
      </c>
      <c r="F39" s="163">
        <f>IF(F38&lt;0,1,IF(E39&lt;1,0,ABS(E38)/(ABS(E38)+F38)))</f>
        <v>0</v>
      </c>
      <c r="G39" s="162"/>
      <c r="H39" s="16"/>
    </row>
    <row r="40" spans="1:19" ht="16.5" customHeight="1" x14ac:dyDescent="0.25">
      <c r="A40" s="171" t="s">
        <v>23</v>
      </c>
      <c r="B40" s="157">
        <f>B36</f>
        <v>-1178.3355109098541</v>
      </c>
      <c r="C40" s="157">
        <f>C36+B40</f>
        <v>-2824.4477513890597</v>
      </c>
      <c r="D40" s="157">
        <f>D36+C40</f>
        <v>-3441.4967659697841</v>
      </c>
      <c r="E40" s="157">
        <f>E36+D40</f>
        <v>1407.2683207792979</v>
      </c>
      <c r="F40" s="157">
        <f>F36+E40</f>
        <v>5660.5710284539309</v>
      </c>
      <c r="G40" s="157"/>
      <c r="H40" s="11"/>
    </row>
    <row r="41" spans="1:19" x14ac:dyDescent="0.25">
      <c r="A41" s="172" t="s">
        <v>8</v>
      </c>
      <c r="B41" s="164">
        <f>IF(B38&lt;0,1,B21/B28)</f>
        <v>1</v>
      </c>
      <c r="C41" s="164">
        <f>IF(C40&lt;0,1,IF(B41&lt;1,0,ABS(B40)/(ABS(B40)+C40)))</f>
        <v>1</v>
      </c>
      <c r="D41" s="164">
        <f>IF(D40&lt;0,1,IF(C41&lt;1,0,ABS(C40)/(ABS(C40)+D40)))</f>
        <v>1</v>
      </c>
      <c r="E41" s="164">
        <f>IF(E40&lt;0,1,IF(D41&lt;1,0,ABS(D40)/(ABS(D40)+E40)))</f>
        <v>0.70976768401811374</v>
      </c>
      <c r="F41" s="164">
        <f>IF(F40&lt;0,1,IF(E41&lt;1,0,ABS(E40)/(ABS(E40)+F40)))</f>
        <v>0</v>
      </c>
      <c r="G41" s="165"/>
      <c r="H41" s="9"/>
    </row>
    <row r="42" spans="1:19" x14ac:dyDescent="0.25">
      <c r="A42" t="str">
        <f>IF(DPP="не окупается","Не окупается","DPP"&amp;" "&amp;IF(DPP="&gt;10","&gt;10",ROUND(DPP,2))&amp;" (год)")</f>
        <v>DPP 3,71 (год)</v>
      </c>
      <c r="H42" s="9"/>
    </row>
    <row r="43" spans="1:19" x14ac:dyDescent="0.25">
      <c r="H43" s="9"/>
    </row>
    <row r="44" spans="1:19" x14ac:dyDescent="0.25">
      <c r="A44" s="153" t="s">
        <v>103</v>
      </c>
      <c r="H44" s="9"/>
    </row>
    <row r="45" spans="1:19" ht="16.5" customHeight="1" x14ac:dyDescent="0.25">
      <c r="A45" s="176" t="s">
        <v>104</v>
      </c>
      <c r="B45" s="177">
        <v>2021</v>
      </c>
      <c r="C45" s="177">
        <v>2022</v>
      </c>
      <c r="D45" s="177">
        <v>2023</v>
      </c>
      <c r="E45" s="177">
        <v>2024</v>
      </c>
      <c r="F45" s="177">
        <v>2025</v>
      </c>
      <c r="G45" s="177" t="s">
        <v>106</v>
      </c>
      <c r="J45" s="5"/>
      <c r="K45" s="5"/>
    </row>
    <row r="46" spans="1:19" ht="42" customHeight="1" x14ac:dyDescent="0.25">
      <c r="A46" s="247" t="str">
        <f>'Дерево КПЭ (Проект 1)'!R5</f>
        <v>Снижение стоимости обслуживания капитала за счет повышения коэф. оборачиваемости, тыс. руб.</v>
      </c>
      <c r="B46" s="248"/>
      <c r="C46" s="248">
        <f>'Дерево КПЭ (Проект 1)'!S5*C30</f>
        <v>0</v>
      </c>
      <c r="D46" s="248">
        <f>'Дерево КПЭ (Проект 1)'!T5*D30</f>
        <v>2609.3256876196633</v>
      </c>
      <c r="E46" s="248">
        <f>'Дерево КПЭ (Проект 1)'!U5*E30</f>
        <v>4678.0795255190023</v>
      </c>
      <c r="F46" s="248">
        <f>'Дерево КПЭ (Проект 1)'!V5*F30</f>
        <v>4103.5785311570198</v>
      </c>
      <c r="G46" s="156">
        <f t="shared" ref="G46:G47" si="7">SUM(B46:F46)</f>
        <v>11390.983744295685</v>
      </c>
      <c r="H46" s="7"/>
      <c r="J46" s="5"/>
      <c r="K46" s="5"/>
    </row>
    <row r="47" spans="1:19" ht="25.5" x14ac:dyDescent="0.25">
      <c r="A47" s="247" t="str">
        <f>'Дерево КПЭ (Проект 1)'!R9</f>
        <v>Снижение трудозатрат на инвентаризацию, тыс. руб.</v>
      </c>
      <c r="B47" s="248"/>
      <c r="C47" s="248">
        <f>'Дерево КПЭ (Проект 1)'!S9*C30</f>
        <v>148.22811644125548</v>
      </c>
      <c r="D47" s="248">
        <f>'Дерево КПЭ (Проект 1)'!T9*D30</f>
        <v>376.85114349471735</v>
      </c>
      <c r="E47" s="248">
        <f>'Дерево КПЭ (Проект 1)'!U9*E30</f>
        <v>360.33618481905722</v>
      </c>
      <c r="F47" s="248">
        <f>'Дерево КПЭ (Проект 1)'!V9*F30</f>
        <v>316.08437264829581</v>
      </c>
      <c r="G47" s="156">
        <f t="shared" si="7"/>
        <v>1201.4998174033258</v>
      </c>
      <c r="H47" s="7"/>
      <c r="J47" s="5"/>
      <c r="K47" s="209"/>
    </row>
    <row r="48" spans="1:19" x14ac:dyDescent="0.25">
      <c r="A48" s="154" t="s">
        <v>11</v>
      </c>
      <c r="B48" s="155">
        <f>-B21*B30</f>
        <v>-1178.3355109098541</v>
      </c>
      <c r="C48" s="155">
        <f t="shared" ref="C48:F48" si="8">-C21*C30</f>
        <v>-1794.3403569204611</v>
      </c>
      <c r="D48" s="155">
        <f t="shared" si="8"/>
        <v>-3603.2258456951045</v>
      </c>
      <c r="E48" s="155">
        <f t="shared" si="8"/>
        <v>-189.65062358897748</v>
      </c>
      <c r="F48" s="155">
        <f t="shared" si="8"/>
        <v>-166.360196130682</v>
      </c>
      <c r="G48" s="156">
        <f>SUM(B48:F48)</f>
        <v>-6931.9125332450794</v>
      </c>
      <c r="H48" s="7"/>
      <c r="J48" s="5"/>
      <c r="K48" s="5"/>
    </row>
    <row r="49" spans="1:11" x14ac:dyDescent="0.25">
      <c r="A49" s="210" t="s">
        <v>108</v>
      </c>
      <c r="B49" s="207"/>
      <c r="C49" s="207"/>
      <c r="D49" s="207"/>
      <c r="E49" s="207"/>
      <c r="F49" s="207"/>
      <c r="G49" s="208">
        <f>SUM(G46:G48)</f>
        <v>5660.5710284539318</v>
      </c>
      <c r="H49" s="7"/>
      <c r="J49" s="5"/>
      <c r="K49" s="5"/>
    </row>
    <row r="50" spans="1:11" x14ac:dyDescent="0.25">
      <c r="H50" s="7"/>
      <c r="J50" s="5"/>
      <c r="K50" s="5"/>
    </row>
    <row r="51" spans="1:11" x14ac:dyDescent="0.25">
      <c r="H51" s="7"/>
      <c r="J51" s="5"/>
      <c r="K51" s="5"/>
    </row>
    <row r="52" spans="1:11" x14ac:dyDescent="0.25">
      <c r="I52" s="5"/>
      <c r="J52" s="5"/>
    </row>
    <row r="53" spans="1:11" x14ac:dyDescent="0.25">
      <c r="I53" s="5"/>
      <c r="J53" s="5"/>
    </row>
    <row r="54" spans="1:11" x14ac:dyDescent="0.25">
      <c r="I54" s="5"/>
      <c r="J54" s="5"/>
    </row>
    <row r="55" spans="1:11" x14ac:dyDescent="0.25">
      <c r="I55" s="5"/>
      <c r="J55" s="5"/>
    </row>
    <row r="56" spans="1:11" x14ac:dyDescent="0.25">
      <c r="I56" s="5"/>
      <c r="J56" s="5"/>
    </row>
    <row r="57" spans="1:11" ht="15" customHeight="1" x14ac:dyDescent="0.25">
      <c r="I57" s="5"/>
      <c r="J57" s="5"/>
    </row>
    <row r="58" spans="1:11" x14ac:dyDescent="0.25">
      <c r="I58" s="5"/>
      <c r="J58" s="5"/>
    </row>
    <row r="59" spans="1:11" ht="15" customHeight="1" x14ac:dyDescent="0.25">
      <c r="I59" s="5"/>
      <c r="J59" s="5"/>
    </row>
    <row r="60" spans="1:11" ht="15" customHeight="1" x14ac:dyDescent="0.25">
      <c r="I60" s="5"/>
      <c r="J60" s="5"/>
    </row>
    <row r="61" spans="1:11" ht="15" customHeight="1" x14ac:dyDescent="0.25">
      <c r="I61" s="5"/>
      <c r="J61" s="5"/>
    </row>
    <row r="62" spans="1:11" x14ac:dyDescent="0.25">
      <c r="I62" s="5"/>
      <c r="J62" s="5"/>
    </row>
    <row r="63" spans="1:11" x14ac:dyDescent="0.25">
      <c r="I63" s="5"/>
      <c r="J63" s="5"/>
    </row>
    <row r="64" spans="1:11" x14ac:dyDescent="0.25">
      <c r="I64" s="5"/>
      <c r="J64" s="5"/>
    </row>
    <row r="65" spans="9:10" ht="15" customHeight="1" x14ac:dyDescent="0.25">
      <c r="I65" s="5"/>
      <c r="J65" s="5"/>
    </row>
    <row r="66" spans="9:10" ht="15" customHeight="1" x14ac:dyDescent="0.25">
      <c r="I66" s="5"/>
      <c r="J66" s="5"/>
    </row>
    <row r="67" spans="9:10" ht="15" customHeight="1" x14ac:dyDescent="0.25">
      <c r="I67" s="5"/>
      <c r="J67" s="5"/>
    </row>
    <row r="68" spans="9:10" ht="15" customHeight="1" x14ac:dyDescent="0.25">
      <c r="I68" s="5"/>
      <c r="J68" s="5"/>
    </row>
    <row r="69" spans="9:10" ht="15" customHeight="1" x14ac:dyDescent="0.25">
      <c r="I69" s="5"/>
      <c r="J69" s="5"/>
    </row>
    <row r="70" spans="9:10" ht="15" customHeight="1" x14ac:dyDescent="0.25">
      <c r="I70" s="5"/>
      <c r="J70" s="5"/>
    </row>
  </sheetData>
  <sheetProtection formatCells="0" formatColumns="0" formatRows="0" insertColumns="0" insertRows="0" insertHyperlinks="0" deleteColumns="0" deleteRows="0" sort="0" autoFilter="0" pivotTables="0"/>
  <mergeCells count="10">
    <mergeCell ref="B1:C1"/>
    <mergeCell ref="B2:C2"/>
    <mergeCell ref="B3:C3"/>
    <mergeCell ref="B4:C4"/>
    <mergeCell ref="B5:C5"/>
    <mergeCell ref="G16:G17"/>
    <mergeCell ref="A18:G18"/>
    <mergeCell ref="A24:G24"/>
    <mergeCell ref="D8:H12"/>
    <mergeCell ref="B6:C6"/>
  </mergeCells>
  <pageMargins left="0.25" right="0.25" top="0.75" bottom="0.75" header="0.3" footer="0.3"/>
  <pageSetup paperSize="9" scale="37"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Q38"/>
  <sheetViews>
    <sheetView topLeftCell="A4" zoomScale="80" zoomScaleNormal="80" workbookViewId="0">
      <selection activeCell="L28" sqref="L28"/>
    </sheetView>
  </sheetViews>
  <sheetFormatPr defaultRowHeight="15" x14ac:dyDescent="0.25"/>
  <cols>
    <col min="1" max="1" width="30.5703125" customWidth="1"/>
    <col min="2" max="3" width="7.5703125" customWidth="1"/>
    <col min="4" max="4" width="7.5703125" style="212" customWidth="1"/>
    <col min="5" max="6" width="7.5703125" customWidth="1"/>
    <col min="7" max="7" width="7.5703125" style="212" customWidth="1"/>
    <col min="8" max="9" width="7.5703125" customWidth="1"/>
    <col min="10" max="10" width="7.5703125" style="212" customWidth="1"/>
    <col min="11" max="12" width="7.5703125" customWidth="1"/>
    <col min="13" max="13" width="7.5703125" style="212" customWidth="1"/>
    <col min="14" max="16" width="7.5703125" customWidth="1"/>
  </cols>
  <sheetData>
    <row r="1" spans="1:16" ht="62.25" customHeight="1" x14ac:dyDescent="0.25">
      <c r="A1" s="321" t="s">
        <v>140</v>
      </c>
      <c r="B1" s="321"/>
      <c r="C1" s="321"/>
      <c r="D1" s="321"/>
      <c r="E1" s="321"/>
      <c r="F1" s="321"/>
      <c r="G1" s="321"/>
      <c r="H1" s="321"/>
      <c r="I1" s="321"/>
      <c r="J1" s="321"/>
      <c r="K1" s="321"/>
      <c r="L1" s="321"/>
      <c r="M1" s="321"/>
      <c r="N1" s="321"/>
      <c r="O1" s="321"/>
      <c r="P1" s="321"/>
    </row>
    <row r="4" spans="1:16" ht="21" x14ac:dyDescent="0.35">
      <c r="A4" s="211" t="s">
        <v>109</v>
      </c>
    </row>
    <row r="5" spans="1:16" ht="15.75" thickBot="1" x14ac:dyDescent="0.3"/>
    <row r="6" spans="1:16" ht="16.5" customHeight="1" thickTop="1" thickBot="1" x14ac:dyDescent="0.3">
      <c r="A6" s="341" t="s">
        <v>63</v>
      </c>
      <c r="B6" s="343">
        <v>2019</v>
      </c>
      <c r="C6" s="344"/>
      <c r="D6" s="345"/>
      <c r="E6" s="343">
        <v>2020</v>
      </c>
      <c r="F6" s="344"/>
      <c r="G6" s="345"/>
      <c r="H6" s="343">
        <v>2021</v>
      </c>
      <c r="I6" s="344"/>
      <c r="J6" s="345"/>
      <c r="K6" s="343">
        <v>2022</v>
      </c>
      <c r="L6" s="344"/>
      <c r="M6" s="345"/>
      <c r="N6" s="339" t="s">
        <v>14</v>
      </c>
      <c r="O6" s="340"/>
      <c r="P6" s="340"/>
    </row>
    <row r="7" spans="1:16" ht="16.5" thickTop="1" thickBot="1" x14ac:dyDescent="0.3">
      <c r="A7" s="342"/>
      <c r="B7" s="213" t="s">
        <v>110</v>
      </c>
      <c r="C7" s="213" t="s">
        <v>111</v>
      </c>
      <c r="D7" s="214" t="s">
        <v>112</v>
      </c>
      <c r="E7" s="213" t="s">
        <v>110</v>
      </c>
      <c r="F7" s="213" t="s">
        <v>111</v>
      </c>
      <c r="G7" s="214" t="s">
        <v>112</v>
      </c>
      <c r="H7" s="213" t="s">
        <v>110</v>
      </c>
      <c r="I7" s="213" t="s">
        <v>111</v>
      </c>
      <c r="J7" s="214" t="s">
        <v>112</v>
      </c>
      <c r="K7" s="213" t="s">
        <v>110</v>
      </c>
      <c r="L7" s="213" t="s">
        <v>111</v>
      </c>
      <c r="M7" s="214" t="s">
        <v>112</v>
      </c>
      <c r="N7" s="213" t="s">
        <v>110</v>
      </c>
      <c r="O7" s="213" t="s">
        <v>111</v>
      </c>
      <c r="P7" s="214" t="s">
        <v>112</v>
      </c>
    </row>
    <row r="8" spans="1:16" ht="25.5" thickTop="1" thickBot="1" x14ac:dyDescent="0.3">
      <c r="A8" s="215" t="s">
        <v>113</v>
      </c>
      <c r="B8" s="216">
        <f>B9+B12</f>
        <v>39.299999999999997</v>
      </c>
      <c r="C8" s="217">
        <f>C9+C12</f>
        <v>40.799999999999997</v>
      </c>
      <c r="D8" s="218">
        <f>C8/B8-1</f>
        <v>3.8167938931297662E-2</v>
      </c>
      <c r="E8" s="219">
        <f>E9+E12</f>
        <v>49.9</v>
      </c>
      <c r="F8" s="217">
        <f>F9+F12</f>
        <v>51.5</v>
      </c>
      <c r="G8" s="218">
        <f>F8/E8-1</f>
        <v>3.2064128256513058E-2</v>
      </c>
      <c r="H8" s="220"/>
      <c r="I8" s="221"/>
      <c r="J8" s="222"/>
      <c r="K8" s="220"/>
      <c r="L8" s="221"/>
      <c r="M8" s="222"/>
      <c r="N8" s="220">
        <f>IFERROR(B8+E8+H8+K8,"")</f>
        <v>89.199999999999989</v>
      </c>
      <c r="O8" s="221">
        <f>IFERROR(C8+F8+I8+L8,"")</f>
        <v>92.3</v>
      </c>
      <c r="P8" s="218">
        <f>O8/N8-1</f>
        <v>3.4753363228699596E-2</v>
      </c>
    </row>
    <row r="9" spans="1:16" ht="25.5" thickTop="1" thickBot="1" x14ac:dyDescent="0.3">
      <c r="A9" s="215" t="s">
        <v>114</v>
      </c>
      <c r="B9" s="223">
        <v>25</v>
      </c>
      <c r="C9" s="224">
        <v>29.3</v>
      </c>
      <c r="D9" s="225">
        <f>C9/B9-1</f>
        <v>0.17199999999999993</v>
      </c>
      <c r="E9" s="219">
        <v>31</v>
      </c>
      <c r="F9" s="224">
        <v>36.5</v>
      </c>
      <c r="G9" s="225">
        <f>F9/E9-1</f>
        <v>0.17741935483870974</v>
      </c>
      <c r="H9" s="226"/>
      <c r="I9" s="227"/>
      <c r="J9" s="228"/>
      <c r="K9" s="226"/>
      <c r="L9" s="227"/>
      <c r="M9" s="228"/>
      <c r="N9" s="226">
        <f>IFERROR(B9+E9+H9+K9,"")</f>
        <v>56</v>
      </c>
      <c r="O9" s="227">
        <f>IFERROR(C9+F9+I9+L9,"")</f>
        <v>65.8</v>
      </c>
      <c r="P9" s="225">
        <f>O9/N9-1</f>
        <v>0.17500000000000004</v>
      </c>
    </row>
    <row r="10" spans="1:16" ht="25.5" thickTop="1" thickBot="1" x14ac:dyDescent="0.3">
      <c r="A10" s="229" t="s">
        <v>115</v>
      </c>
      <c r="B10" s="330">
        <v>7</v>
      </c>
      <c r="C10" s="331"/>
      <c r="D10" s="332"/>
      <c r="E10" s="333">
        <v>0.2</v>
      </c>
      <c r="F10" s="331"/>
      <c r="G10" s="332"/>
      <c r="H10" s="333" t="s">
        <v>116</v>
      </c>
      <c r="I10" s="331"/>
      <c r="J10" s="332"/>
      <c r="K10" s="333" t="s">
        <v>116</v>
      </c>
      <c r="L10" s="331"/>
      <c r="M10" s="332"/>
      <c r="N10" s="333">
        <f>SUM(B10:L10)</f>
        <v>7.2</v>
      </c>
      <c r="O10" s="331"/>
      <c r="P10" s="332"/>
    </row>
    <row r="11" spans="1:16" ht="37.5" thickTop="1" thickBot="1" x14ac:dyDescent="0.3">
      <c r="A11" s="229" t="s">
        <v>117</v>
      </c>
      <c r="B11" s="334">
        <f>-2.7</f>
        <v>-2.7</v>
      </c>
      <c r="C11" s="335"/>
      <c r="D11" s="336"/>
      <c r="E11" s="337">
        <v>5.3</v>
      </c>
      <c r="F11" s="335"/>
      <c r="G11" s="336"/>
      <c r="H11" s="337" t="s">
        <v>116</v>
      </c>
      <c r="I11" s="335"/>
      <c r="J11" s="336"/>
      <c r="K11" s="337" t="s">
        <v>116</v>
      </c>
      <c r="L11" s="335"/>
      <c r="M11" s="336"/>
      <c r="N11" s="337">
        <f>SUM(B11:L11)</f>
        <v>2.5999999999999996</v>
      </c>
      <c r="O11" s="335"/>
      <c r="P11" s="336"/>
    </row>
    <row r="12" spans="1:16" ht="25.5" thickTop="1" thickBot="1" x14ac:dyDescent="0.3">
      <c r="A12" s="215" t="s">
        <v>118</v>
      </c>
      <c r="B12" s="230">
        <v>14.3</v>
      </c>
      <c r="C12" s="227">
        <v>11.5</v>
      </c>
      <c r="D12" s="225">
        <f>C12/B12-1</f>
        <v>-0.19580419580419584</v>
      </c>
      <c r="E12" s="219">
        <v>18.899999999999999</v>
      </c>
      <c r="F12" s="224">
        <v>15</v>
      </c>
      <c r="G12" s="225">
        <f>F12/E12-1</f>
        <v>-0.20634920634920628</v>
      </c>
      <c r="H12" s="226"/>
      <c r="I12" s="227"/>
      <c r="J12" s="228"/>
      <c r="K12" s="226"/>
      <c r="L12" s="227"/>
      <c r="M12" s="228"/>
      <c r="N12" s="219">
        <f>IFERROR(B12+E12+H12+K12,"")</f>
        <v>33.200000000000003</v>
      </c>
      <c r="O12" s="224">
        <f>IFERROR(C12+F12+I12+L12,"")</f>
        <v>26.5</v>
      </c>
      <c r="P12" s="225">
        <f>O12/N12-1</f>
        <v>-0.20180722891566272</v>
      </c>
    </row>
    <row r="13" spans="1:16" ht="16.5" thickTop="1" thickBot="1" x14ac:dyDescent="0.3">
      <c r="A13" s="229" t="s">
        <v>119</v>
      </c>
      <c r="B13" s="330">
        <f>-5.4</f>
        <v>-5.4</v>
      </c>
      <c r="C13" s="331"/>
      <c r="D13" s="332"/>
      <c r="E13" s="333">
        <f>-4.3</f>
        <v>-4.3</v>
      </c>
      <c r="F13" s="331"/>
      <c r="G13" s="332"/>
      <c r="H13" s="333" t="s">
        <v>116</v>
      </c>
      <c r="I13" s="331"/>
      <c r="J13" s="332"/>
      <c r="K13" s="333" t="s">
        <v>116</v>
      </c>
      <c r="L13" s="331"/>
      <c r="M13" s="332"/>
      <c r="N13" s="333">
        <f>SUM(B13:L13)</f>
        <v>-9.6999999999999993</v>
      </c>
      <c r="O13" s="331"/>
      <c r="P13" s="332"/>
    </row>
    <row r="14" spans="1:16" ht="37.5" thickTop="1" thickBot="1" x14ac:dyDescent="0.3">
      <c r="A14" s="229" t="s">
        <v>120</v>
      </c>
      <c r="B14" s="338">
        <v>4.3</v>
      </c>
      <c r="C14" s="327"/>
      <c r="D14" s="328"/>
      <c r="E14" s="326">
        <v>3.8</v>
      </c>
      <c r="F14" s="327"/>
      <c r="G14" s="328"/>
      <c r="H14" s="326" t="s">
        <v>116</v>
      </c>
      <c r="I14" s="327"/>
      <c r="J14" s="328"/>
      <c r="K14" s="326" t="s">
        <v>116</v>
      </c>
      <c r="L14" s="327"/>
      <c r="M14" s="328"/>
      <c r="N14" s="326">
        <f t="shared" ref="N14:N15" si="0">SUM(B14:L14)</f>
        <v>8.1</v>
      </c>
      <c r="O14" s="327"/>
      <c r="P14" s="328"/>
    </row>
    <row r="15" spans="1:16" ht="25.5" thickTop="1" thickBot="1" x14ac:dyDescent="0.3">
      <c r="A15" s="229" t="s">
        <v>121</v>
      </c>
      <c r="B15" s="323">
        <f>-1.7</f>
        <v>-1.7</v>
      </c>
      <c r="C15" s="324"/>
      <c r="D15" s="325"/>
      <c r="E15" s="326">
        <v>4.4000000000000004</v>
      </c>
      <c r="F15" s="327"/>
      <c r="G15" s="328"/>
      <c r="H15" s="326" t="s">
        <v>116</v>
      </c>
      <c r="I15" s="327"/>
      <c r="J15" s="328"/>
      <c r="K15" s="329" t="s">
        <v>116</v>
      </c>
      <c r="L15" s="324"/>
      <c r="M15" s="325"/>
      <c r="N15" s="329">
        <f t="shared" si="0"/>
        <v>2.7</v>
      </c>
      <c r="O15" s="324"/>
      <c r="P15" s="325"/>
    </row>
    <row r="16" spans="1:16" ht="25.5" thickTop="1" thickBot="1" x14ac:dyDescent="0.3">
      <c r="A16" s="215" t="s">
        <v>122</v>
      </c>
      <c r="B16" s="223">
        <v>14</v>
      </c>
      <c r="C16" s="224">
        <v>15.1</v>
      </c>
      <c r="D16" s="225">
        <f>C16/B16-1</f>
        <v>7.8571428571428514E-2</v>
      </c>
      <c r="E16" s="219">
        <v>20.100000000000001</v>
      </c>
      <c r="F16" s="224">
        <v>16.8</v>
      </c>
      <c r="G16" s="225">
        <f>F16/E16-1</f>
        <v>-0.16417910447761197</v>
      </c>
      <c r="H16" s="226"/>
      <c r="I16" s="227"/>
      <c r="J16" s="228"/>
      <c r="K16" s="226"/>
      <c r="L16" s="227"/>
      <c r="M16" s="228"/>
      <c r="N16" s="226">
        <f>IFERROR(B16+E16+H16+K16,"")</f>
        <v>34.1</v>
      </c>
      <c r="O16" s="227">
        <f>IFERROR(C16+F16+I16+L16,"")</f>
        <v>31.9</v>
      </c>
      <c r="P16" s="225">
        <f>O16/N16-1</f>
        <v>-6.4516129032258118E-2</v>
      </c>
    </row>
    <row r="17" spans="1:16" ht="25.5" thickTop="1" thickBot="1" x14ac:dyDescent="0.3">
      <c r="A17" s="229" t="s">
        <v>123</v>
      </c>
      <c r="B17" s="330">
        <v>0.6</v>
      </c>
      <c r="C17" s="331"/>
      <c r="D17" s="332"/>
      <c r="E17" s="333">
        <v>1.2</v>
      </c>
      <c r="F17" s="331"/>
      <c r="G17" s="332"/>
      <c r="H17" s="333" t="s">
        <v>116</v>
      </c>
      <c r="I17" s="331"/>
      <c r="J17" s="332"/>
      <c r="K17" s="333" t="s">
        <v>116</v>
      </c>
      <c r="L17" s="331"/>
      <c r="M17" s="332"/>
      <c r="N17" s="333">
        <f>SUM(B17:L17)</f>
        <v>1.7999999999999998</v>
      </c>
      <c r="O17" s="331"/>
      <c r="P17" s="332"/>
    </row>
    <row r="18" spans="1:16" ht="25.5" thickTop="1" thickBot="1" x14ac:dyDescent="0.3">
      <c r="A18" s="229" t="s">
        <v>124</v>
      </c>
      <c r="B18" s="334">
        <v>0.5</v>
      </c>
      <c r="C18" s="335"/>
      <c r="D18" s="336"/>
      <c r="E18" s="337">
        <v>2.1</v>
      </c>
      <c r="F18" s="335"/>
      <c r="G18" s="336"/>
      <c r="H18" s="337" t="s">
        <v>116</v>
      </c>
      <c r="I18" s="335"/>
      <c r="J18" s="336"/>
      <c r="K18" s="337" t="s">
        <v>116</v>
      </c>
      <c r="L18" s="335"/>
      <c r="M18" s="336"/>
      <c r="N18" s="337">
        <f>SUM(B18:L18)</f>
        <v>2.6</v>
      </c>
      <c r="O18" s="335"/>
      <c r="P18" s="336"/>
    </row>
    <row r="19" spans="1:16" ht="15.75" thickTop="1" x14ac:dyDescent="0.25">
      <c r="C19" s="231"/>
      <c r="D19" s="232"/>
      <c r="E19" s="233"/>
      <c r="F19" s="233"/>
      <c r="G19" s="234"/>
      <c r="H19" s="233"/>
      <c r="I19" s="233"/>
      <c r="J19" s="234"/>
      <c r="K19" s="233"/>
      <c r="L19" s="233"/>
      <c r="M19" s="232"/>
      <c r="N19" s="231"/>
    </row>
    <row r="20" spans="1:16" x14ac:dyDescent="0.25">
      <c r="A20" t="s">
        <v>125</v>
      </c>
    </row>
    <row r="21" spans="1:16" x14ac:dyDescent="0.25">
      <c r="H21" s="231"/>
    </row>
    <row r="22" spans="1:16" x14ac:dyDescent="0.25">
      <c r="A22" s="235" t="s">
        <v>84</v>
      </c>
      <c r="H22" s="231"/>
      <c r="O22" s="231"/>
    </row>
    <row r="23" spans="1:16" x14ac:dyDescent="0.25">
      <c r="A23" t="s">
        <v>126</v>
      </c>
    </row>
    <row r="24" spans="1:16" x14ac:dyDescent="0.25">
      <c r="A24" s="236" t="s">
        <v>127</v>
      </c>
      <c r="B24" t="s">
        <v>128</v>
      </c>
    </row>
    <row r="25" spans="1:16" x14ac:dyDescent="0.25">
      <c r="A25" s="236" t="s">
        <v>129</v>
      </c>
      <c r="B25" t="s">
        <v>130</v>
      </c>
    </row>
    <row r="26" spans="1:16" x14ac:dyDescent="0.25">
      <c r="L26" s="231"/>
    </row>
    <row r="27" spans="1:16" x14ac:dyDescent="0.25">
      <c r="A27" s="236" t="s">
        <v>131</v>
      </c>
    </row>
    <row r="28" spans="1:16" x14ac:dyDescent="0.25">
      <c r="A28" t="s">
        <v>132</v>
      </c>
    </row>
    <row r="29" spans="1:16" x14ac:dyDescent="0.25">
      <c r="A29" t="s">
        <v>133</v>
      </c>
    </row>
    <row r="30" spans="1:16" x14ac:dyDescent="0.25">
      <c r="A30" t="s">
        <v>134</v>
      </c>
    </row>
    <row r="32" spans="1:16" x14ac:dyDescent="0.25">
      <c r="A32" s="236" t="s">
        <v>135</v>
      </c>
    </row>
    <row r="33" spans="1:17" x14ac:dyDescent="0.25">
      <c r="A33" t="s">
        <v>136</v>
      </c>
    </row>
    <row r="35" spans="1:17" x14ac:dyDescent="0.25">
      <c r="A35" s="237" t="s">
        <v>137</v>
      </c>
    </row>
    <row r="36" spans="1:17" ht="33" customHeight="1" x14ac:dyDescent="0.25">
      <c r="A36" s="322" t="s">
        <v>138</v>
      </c>
      <c r="B36" s="322"/>
      <c r="C36" s="322"/>
      <c r="D36" s="322"/>
      <c r="E36" s="322"/>
      <c r="F36" s="322"/>
      <c r="G36" s="322"/>
      <c r="H36" s="322"/>
      <c r="I36" s="322"/>
      <c r="J36" s="322"/>
      <c r="K36" s="322"/>
      <c r="L36" s="322"/>
      <c r="M36" s="322"/>
      <c r="N36" s="322"/>
      <c r="O36" s="322"/>
      <c r="P36" s="322"/>
      <c r="Q36" s="322"/>
    </row>
    <row r="38" spans="1:17" x14ac:dyDescent="0.25">
      <c r="A38" t="s">
        <v>139</v>
      </c>
    </row>
  </sheetData>
  <mergeCells count="43">
    <mergeCell ref="N6:P6"/>
    <mergeCell ref="A6:A7"/>
    <mergeCell ref="B6:D6"/>
    <mergeCell ref="E6:G6"/>
    <mergeCell ref="H6:J6"/>
    <mergeCell ref="K6:M6"/>
    <mergeCell ref="B11:D11"/>
    <mergeCell ref="E11:G11"/>
    <mergeCell ref="H11:J11"/>
    <mergeCell ref="K11:M11"/>
    <mergeCell ref="N11:P11"/>
    <mergeCell ref="B10:D10"/>
    <mergeCell ref="E10:G10"/>
    <mergeCell ref="H10:J10"/>
    <mergeCell ref="K10:M10"/>
    <mergeCell ref="N10:P10"/>
    <mergeCell ref="N18:P18"/>
    <mergeCell ref="B13:D13"/>
    <mergeCell ref="E13:G13"/>
    <mergeCell ref="H13:J13"/>
    <mergeCell ref="K13:M13"/>
    <mergeCell ref="N13:P13"/>
    <mergeCell ref="B14:D14"/>
    <mergeCell ref="E14:G14"/>
    <mergeCell ref="H14:J14"/>
    <mergeCell ref="K14:M14"/>
    <mergeCell ref="N14:P14"/>
    <mergeCell ref="A1:P1"/>
    <mergeCell ref="A36:Q36"/>
    <mergeCell ref="B15:D15"/>
    <mergeCell ref="E15:G15"/>
    <mergeCell ref="H15:J15"/>
    <mergeCell ref="K15:M15"/>
    <mergeCell ref="N15:P15"/>
    <mergeCell ref="B17:D17"/>
    <mergeCell ref="E17:G17"/>
    <mergeCell ref="H17:J17"/>
    <mergeCell ref="K17:M17"/>
    <mergeCell ref="N17:P17"/>
    <mergeCell ref="B18:D18"/>
    <mergeCell ref="E18:G18"/>
    <mergeCell ref="H18:J18"/>
    <mergeCell ref="K18:M1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78A77A91F92ACC4E9C127A8787D6B4EA" ma:contentTypeVersion="0" ma:contentTypeDescription="Создание документа." ma:contentTypeScope="" ma:versionID="667f69281dad722f2dcdf7229e047d51">
  <xsd:schema xmlns:xsd="http://www.w3.org/2001/XMLSchema" xmlns:xs="http://www.w3.org/2001/XMLSchema" xmlns:p="http://schemas.microsoft.com/office/2006/metadata/properties" targetNamespace="http://schemas.microsoft.com/office/2006/metadata/properties" ma:root="true" ma:fieldsID="7908ea42fb71c0c07438adf90d3ab97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1BA988-A05F-4989-A25F-1E561DA27C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EE6EEEC2-2B0E-45BC-8CE8-972BC3F510F2}">
  <ds:schemaRefs>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purl.org/dc/dcmitype/"/>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51D054F4-726F-4D99-92C3-91984C7FDF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1</vt:i4>
      </vt:variant>
    </vt:vector>
  </HeadingPairs>
  <TitlesOfParts>
    <vt:vector size="5" baseType="lpstr">
      <vt:lpstr>TCO (Проект 1)</vt:lpstr>
      <vt:lpstr>Дерево КПЭ (Проект 1)</vt:lpstr>
      <vt:lpstr>Резюме (Проекта 1)</vt:lpstr>
      <vt:lpstr>Факторный анализ</vt:lpstr>
      <vt:lpstr>'Резюме (Проекта 1)'!DPP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Пахомов Александр Георгиевич</dc:creator>
  <cp:lastModifiedBy>Васильева Василина Дмитриевна</cp:lastModifiedBy>
  <cp:lastPrinted>2019-12-18T11:51:08Z</cp:lastPrinted>
  <dcterms:created xsi:type="dcterms:W3CDTF">2013-09-30T11:34:26Z</dcterms:created>
  <dcterms:modified xsi:type="dcterms:W3CDTF">2026-06-30T07:37:44Z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0x01010078A77A91F92ACC4E9C127A8787D6B4EA</vt:lpwstr>
  </property>
  <property fmtid="{D5CDD505-2E9C-101B-9397-08002B2CF9AE}" pid="3" name="Order">
    <vt:r8>7800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ies>
</file>